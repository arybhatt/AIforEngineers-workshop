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2307889\Downloads\"/>
    </mc:Choice>
  </mc:AlternateContent>
  <xr:revisionPtr revIDLastSave="0" documentId="8_{E54D9EDA-8E29-4BCF-BA13-9E2391759FEA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AWS DevOps Curriculum" sheetId="1" r:id="rId1"/>
  </sheets>
  <definedNames>
    <definedName name="_xlnm._FilterDatabase" localSheetId="0" hidden="1">'AWS DevOps Curriculum'!$A$1:$F$12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24" i="1" l="1"/>
  <c r="D25" i="1" s="1"/>
  <c r="D23" i="1"/>
</calcChain>
</file>

<file path=xl/sharedStrings.xml><?xml version="1.0" encoding="utf-8"?>
<sst xmlns="http://schemas.openxmlformats.org/spreadsheetml/2006/main" count="93" uniqueCount="78">
  <si>
    <t>Module Name</t>
  </si>
  <si>
    <t>Content / Topics Covered</t>
  </si>
  <si>
    <t>Labs</t>
  </si>
  <si>
    <t>Hours</t>
  </si>
  <si>
    <t>Days</t>
  </si>
  <si>
    <t>Delivery Type</t>
  </si>
  <si>
    <t>AWS Foundational Discussion</t>
  </si>
  <si>
    <t>• Cloud basics: public cloud, private cloud, hybrid cloud
• AWS global setup: Region, Availability Zone, edge location
• Service models: IaaS, PaaS, SaaS with simple examples
• Shared responsibility model: what AWS owns vs what user owns
• IAM basics: account, user, group, role, policy
• Core service preview: EC2, S3, VPC, IAM, CloudWatch
• Billing basics: Free Tier, budgets, alerts, cleanup habits
• Console and AWS CLI orientation</t>
  </si>
  <si>
    <t>☑ Lab 1: Create an IAM user or role-based access as per trainer guidance, configure AWS CLI, and verify identity using sts get-caller-identity
☑ Lab 2: Enable budget alert, open EC2/S3/IAM consoles, and identify where billing and cleanup options are located</t>
  </si>
  <si>
    <t>Day 1</t>
  </si>
  <si>
    <t>ILT/VILT</t>
  </si>
  <si>
    <t>Event-Driven Architecture with SNS, SQS &amp; EventBridge</t>
  </si>
  <si>
    <t>• Event-driven idea: one service sends an event, another service reacts
• Basic terms: producer, consumer, event, queue, topic, rule, target
• SQS basics: Standard queue, send message, receive message, delete message
• SNS basics: topic, subscription, publish message, email or SQS subscriber
• SNS fan-out: one message can go to more than one subscriber
• EventBridge basics: event bus, event pattern, rule, target
• DLQ basics: keep failed messages for later checking
• CloudWatch basics: verify logs, metrics, and cleanup resources</t>
  </si>
  <si>
    <t>☑ Lab 3: Create one SQS Standard queue, send one test message, receive it, delete it, and then delete the queue
☑ Lab 4: Create one SNS topic with one email or SQS subscription, publish one test message, confirm delivery, and delete resources</t>
  </si>
  <si>
    <t>Day 2 – 4</t>
  </si>
  <si>
    <t>Amazon API Gateway</t>
  </si>
  <si>
    <t>• API basics: client, endpoint, route, method, response
• HTTP API vs REST API at a simple decision level
• Lambda integration: API calls trigger backend code
• Routes and methods: GET and POST beginner examples
• Request and response basics: status code, JSON body, headers
• CORS concept: why browsers sometimes block API calls
• CloudWatch logs and cleanup after testing</t>
  </si>
  <si>
    <t>☑ Lab 5: Create a simple Lambda hello function and expose it with an HTTP API route
☑ Lab 6: Test the API from browser or curl, check CloudWatch logs, and delete API/Lambda resources</t>
  </si>
  <si>
    <t>Day 5 – 6</t>
  </si>
  <si>
    <t>AWS Lambda</t>
  </si>
  <si>
    <t>• Serverless idea: run code without managing servers
• Lambda basics: function, runtime, handler, event, response
• IAM execution role: minimum permissions needed by the function
• Environment variables for simple configuration
• Triggers overview: API Gateway, S3, SNS, SQS, EventBridge
• CloudWatch logs: print, test, troubleshoot
• Timeout and memory basics
• Cleanup habits to avoid unwanted charges</t>
  </si>
  <si>
    <t>☑ Lab 7: Create a Python Lambda hello function, run a test event, and inspect CloudWatch logs
☑ Lab 8: Create a small S3 trigger for text-file upload, verify Lambda log output, then delete bucket trigger and test files</t>
  </si>
  <si>
    <t>Day 7 – 9</t>
  </si>
  <si>
    <t>AWS Step Functions</t>
  </si>
  <si>
    <t>• Workflow idea: connect multiple steps in one visible flow
• State machine basics: StartAt, States, Input, Output
• Basic states: Pass, Task, Choice, Wait, Succeed, Fail
• Lambda task state: call one function from a workflow
• Choice logic: simple if/else workflow path
• Retry and Catch: handle a simple failure safely
• Execution history: see what happened step by step</t>
  </si>
  <si>
    <t>☑ Lab 9: Build a Pass + Choice state machine using sample JSON and review execution history
☑ Lab 10: Call one Lambda function from Step Functions, add one Retry/Catch rule, test, and delete resources</t>
  </si>
  <si>
    <t>Day 10 – 13</t>
  </si>
  <si>
    <t>AWS Glue — ETL &amp; Data Catalog</t>
  </si>
  <si>
    <t>• ETL basics: extract data, transform data, load output
• S3 data layout: raw folder and processed folder
• Glue Data Catalog: database, table, schema, metadata
• Crawler concept: scans data and creates table metadata
• Glue Studio concept: visual source, transform, target flow
• Simple transforms: select columns, rename columns, filter rows
• Athena concept: query cataloged data using SQL
• Cost safety: keep data tiny, prefer catalog-only practice, delete test objects</t>
  </si>
  <si>
    <t xml:space="preserve">
☑ Lab 11: Create a Glue Studio visual job draft with source, one transform, and target, but do not run the job unless trainer approves cost</t>
  </si>
  <si>
    <t>Day 14 – 17</t>
  </si>
  <si>
    <t>Containers on AWS — Docker &amp; Amazon ECR</t>
  </si>
  <si>
    <t>• Container basics: image, container, Dockerfile, registry
• Docker run basics: pull image, run container, stop container
• Dockerfile basics: base image, copy files, expose port, command
• ECR basics: repository, image tag, push, pull
• Image hygiene: small image, clear tag, no secrets in image
• Scan concept: check image for known issues
• Cleanup: remove local images and delete test repository if created</t>
  </si>
  <si>
    <t>☑ Lab 12: Run a public Nginx container locally, open the page, stop the container, and remove it
☑ Lab 13: Build a tiny static web image locally and optionally push it to ECR only if Free Tier or trainer account permits</t>
  </si>
  <si>
    <t>Day 18 – 19</t>
  </si>
  <si>
    <t>Amazon ECS &amp; AWS Fargate</t>
  </si>
  <si>
    <t>• ECS basics: cluster, task definition, task, service
• Fargate idea: run containers without managing EC2 servers
• Task definition basics: image, CPU, memory, port, environment variable
• Networking basics: subnet, security group, public IP, container port
• Service basics: desired count and task replacement
• CloudWatch logs for container output
• Cost safety: Fargate has usage-based pricing, so avoid launching tasks unless approved</t>
  </si>
  <si>
    <t xml:space="preserve">☑ Lab 14:Create an ECS cluster and Fargate task definition using a public Nginx image, review all settings, but do not run the task
</t>
  </si>
  <si>
    <t>Day 20 – 22</t>
  </si>
  <si>
    <t>Amazon EKS &amp; Kubernetes on AWS</t>
  </si>
  <si>
    <t>• Kubernetes recap: pod, deployment, service, namespace
• EKS idea: AWS-managed Kubernetes control plane
• Worker options: managed nodes and Fargate profile awareness
• kubectl basics: get, describe, logs, apply, delete
• Service exposure concept: ClusterIP, LoadBalancer, Ingress overview
• Config basics: ConfigMap and Secret awareness
• Cost safety: do not create an EKS cluster in personal Free Tier account</t>
  </si>
  <si>
    <t>☑ Lab 15: Use local Minikube/kind or trainer sandbox to deploy Nginx and expose it with a basic service
☑ Lab 16: Open the EKS create-cluster wizard for walkthrough only, identify VPC/node/security fields, and cancel before creation</t>
  </si>
  <si>
    <t>Day 23 – 25</t>
  </si>
  <si>
    <t>AWS AI Services &amp; AWS Transform Basics</t>
  </si>
  <si>
    <t>• AI/ML/GenAI terms: simple definitions and use cases
• Bedrock basics: foundation model, prompt, response, guardrail awareness
• Amazon Q overview: business and developer assistant use cases
• AI services overview: Textract, Comprehend, Transcribe, Polly, Translate, Rekognition
• AWS Transform idea: AI-assisted modernization discussion
• Modernization keywords: assess, plan, transform, validate
• Responsible AI basics: privacy, human review, accuracy check</t>
  </si>
  <si>
    <t>Day 26 – 27</t>
  </si>
  <si>
    <t>Python for AWS Automation</t>
  </si>
  <si>
    <t>Python fundamentals: variables, data types, operators
• Working with strings, lists, tuples, dictionaries, and sets
• Conditional statements (if, elif, else)
• Loops (for, while) and loop control statements
• Functions: parameters, return values, scope
• File handling: read and write text files
• Working with JSON data and configuration files
• Exception handling: try, except, finally
• Modules and packages overview
• Virtual environments and pip basics
• Object-Oriented Programming (Class, Object, Method)
• Logging fundamentals for automation scripts
• Introduction to Boto3: client, resource, credentials, region
• Automating Amazon S3 using Boto3
• Invoking AWS Lambda using Boto3
• Writing simple reusable automation scripts
• Debugging, testing, and cleanup best practices</t>
  </si>
  <si>
    <t>☑ Lab 17: Create a Python script that reads a JSON file, processes data using lists and dictionaries, and writes the output to a new file.
☑ Lab 18: Create a Boto3 script to list S3 buckets and upload/download a small file from an S3 bucket</t>
  </si>
  <si>
    <t>Day 28 – 30</t>
  </si>
  <si>
    <t>Role of CI/CD Role of CI/CD	
Installing Jenkins on Windows/Linux/macOS	
Unlocking &amp; Initial Setup	
Jenkins Dashboard Overview	
Jobs, Builds, Plugins &amp; Nodes	
Global Configuration &amp; User Roles	
Plugin Management	
Creating Your First Job (Freestyle)	
Git Integration &amp; Build Steps	
Build Triggers: Manual, SCM Polling, Webhooks, Cron	
Pipeline Types: Freestyle, Declarative, Scripted, Multibranch	
Writing &amp; Running a Simple Pipeline	
Tool Integration: GitHub</t>
  </si>
  <si>
    <t>✅  18. Build a Declarative Pipeline with Jenkinsfile</t>
  </si>
  <si>
    <t>Introduction to Docker
What is Docker &amp; Why Use It?
Containers vs Virtual Machines
Installing Docker on Windows/Linux/Mac
Docker Images &amp; Containers
Writing Dockerfiles
Building &amp; Managing Images
Running, Stopping, Restarting Containers
Pushing &amp; Pulling Images from Docker Hub &amp; AWS ECR
Scanning Images</t>
  </si>
  <si>
    <t>✅ Lab 18: Setting up Docker Envionment and deploying simple Web App on Docker.</t>
  </si>
  <si>
    <t>Day 43 - 46</t>
  </si>
  <si>
    <t xml:space="preserve">Kubernetes Basics &amp; Architecture
What is Kubernetes?
Kubernetes Components (Nodes, Pods, Deployments, Services)
Running a Simple Pod &amp; Service
Scaling &amp; Updating Applications
Exposing Applications (ClusterIP, NodePort, LoadBalancer)
Persistent Volumes (PVs) &amp; Persistent Volume Claims (PVCs)
</t>
  </si>
  <si>
    <t>✅ Lab 19: Setting up Kubernetes enviornment and deploying a Simple Web App on k8s                                                 ✅ Lab 20: Setting up Kubernetes enviornment and deploying a Simple Web App on k8s  Deploying a Canary Deployment with Horizontal Scaling Deploying a Canary Deployment with Horizontal Scaling</t>
  </si>
  <si>
    <t>Day 47 - 52</t>
  </si>
  <si>
    <t xml:space="preserve">Automation Build tools( Terraform)
Python Basics  
</t>
  </si>
  <si>
    <t>Day 53- 57</t>
  </si>
  <si>
    <t>Fundamentals of Gen AI</t>
  </si>
  <si>
    <t>Day 21 &amp; 24</t>
  </si>
  <si>
    <t xml:space="preserve">Final KBA (MCQ) Assessment </t>
  </si>
  <si>
    <t>Day 26</t>
  </si>
  <si>
    <t>Final Technical Evaluation</t>
  </si>
  <si>
    <t>Day 58 - 60</t>
  </si>
  <si>
    <t>Behavioral Training</t>
  </si>
  <si>
    <t>BU Mentor Connect</t>
  </si>
  <si>
    <t>Total Duration in hours</t>
  </si>
  <si>
    <t>Total Duration in Days</t>
  </si>
  <si>
    <t xml:space="preserve">Total Duration in Weeks(5 Days a week) </t>
  </si>
  <si>
    <t xml:space="preserve">Jenkins </t>
  </si>
  <si>
    <t>Docker Essentials</t>
  </si>
  <si>
    <t>Kubernetes Overview</t>
  </si>
  <si>
    <t xml:space="preserve">Automation </t>
  </si>
  <si>
    <t>Enablement</t>
  </si>
  <si>
    <t>ITIL Concepts</t>
  </si>
  <si>
    <t>Evaluation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</si>
</sst>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1"/>
      <color rgb="FFFFFFFF"/>
      <name val="Cambria"/>
      <charset val="1"/>
    </font>
    <font>
      <sz val="9"/>
      <name val="Cambria"/>
      <charset val="1"/>
    </font>
    <font>
      <b/>
      <sz val="10"/>
      <name val="Cambria"/>
      <charset val="1"/>
    </font>
    <font>
      <sz val="10"/>
      <name val="Cambria"/>
      <charset val="1"/>
    </font>
    <font>
      <sz val="12"/>
      <color theme="1"/>
      <name val="Arial"/>
      <family val="2"/>
    </font>
    <font>
      <sz val="12"/>
      <color theme="1"/>
      <name val="Arial"/>
    </font>
    <font>
      <sz val="12"/>
      <color theme="2" tint="-0.89999084444715716"/>
      <name val="Arial"/>
      <family val="2"/>
    </font>
    <font>
      <b/>
      <sz val="12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rgb="FF00B050"/>
      <name val="Arial"/>
      <family val="2"/>
    </font>
    <font>
      <sz val="14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5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top"/>
    </xf>
    <xf numFmtId="0" fontId="9" fillId="0" borderId="0" xfId="0" applyFont="1" applyAlignment="1">
      <alignment horizontal="center" vertical="top"/>
    </xf>
    <xf numFmtId="0" fontId="5" fillId="3" borderId="6" xfId="0" applyFont="1" applyFill="1" applyBorder="1" applyAlignment="1">
      <alignment horizontal="left" vertical="top"/>
    </xf>
    <xf numFmtId="0" fontId="5" fillId="3" borderId="6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left" vertical="top"/>
    </xf>
    <xf numFmtId="0" fontId="8" fillId="4" borderId="2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left" vertical="center" wrapText="1"/>
    </xf>
    <xf numFmtId="0" fontId="5" fillId="0" borderId="2" xfId="0" applyFont="1" applyBorder="1" applyAlignment="1">
      <alignment vertical="center" wrapText="1"/>
    </xf>
    <xf numFmtId="0" fontId="5" fillId="3" borderId="6" xfId="0" applyFont="1" applyFill="1" applyBorder="1" applyAlignment="1">
      <alignment horizontal="left" vertical="center"/>
    </xf>
    <xf numFmtId="0" fontId="12" fillId="0" borderId="0" xfId="0" applyFont="1" applyAlignment="1">
      <alignment horizontal="left" vertical="top"/>
    </xf>
    <xf numFmtId="0" fontId="12" fillId="0" borderId="0" xfId="0" applyFont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showGridLines="0" tabSelected="1" zoomScaleNormal="100" workbookViewId="0">
      <pane ySplit="1" topLeftCell="A2" activePane="bottomLeft" state="frozen"/>
      <selection activeCell="E1" sqref="E1"/>
      <selection pane="bottomLeft" activeCell="F12" sqref="F12:F14"/>
    </sheetView>
  </sheetViews>
  <sheetFormatPr defaultColWidth="8.54296875" defaultRowHeight="15" customHeight="1" x14ac:dyDescent="0.35"/>
  <cols>
    <col min="1" max="1" width="36" customWidth="1"/>
    <col min="2" max="3" width="64" customWidth="1"/>
    <col min="4" max="4" width="9" customWidth="1"/>
    <col min="5" max="5" width="14" customWidth="1"/>
    <col min="6" max="6" width="12" customWidth="1"/>
  </cols>
  <sheetData>
    <row r="1" spans="1:6" ht="27.7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17.75" customHeight="1" x14ac:dyDescent="0.35">
      <c r="A2" s="3" t="s">
        <v>6</v>
      </c>
      <c r="B2" s="4" t="s">
        <v>7</v>
      </c>
      <c r="C2" s="4" t="s">
        <v>8</v>
      </c>
      <c r="D2" s="2">
        <v>8</v>
      </c>
      <c r="E2" s="2" t="s">
        <v>9</v>
      </c>
      <c r="F2" s="2" t="s">
        <v>10</v>
      </c>
    </row>
    <row r="3" spans="1:6" ht="117.75" customHeight="1" x14ac:dyDescent="0.35">
      <c r="A3" s="3" t="s">
        <v>11</v>
      </c>
      <c r="B3" s="4" t="s">
        <v>12</v>
      </c>
      <c r="C3" s="4" t="s">
        <v>13</v>
      </c>
      <c r="D3" s="3">
        <v>24</v>
      </c>
      <c r="E3" s="4" t="s">
        <v>14</v>
      </c>
      <c r="F3" s="4" t="s">
        <v>10</v>
      </c>
    </row>
    <row r="4" spans="1:6" ht="117.75" customHeight="1" x14ac:dyDescent="0.35">
      <c r="A4" s="3" t="s">
        <v>15</v>
      </c>
      <c r="B4" s="4" t="s">
        <v>16</v>
      </c>
      <c r="C4" s="4" t="s">
        <v>17</v>
      </c>
      <c r="D4" s="3">
        <v>16</v>
      </c>
      <c r="E4" s="4" t="s">
        <v>18</v>
      </c>
      <c r="F4" s="4" t="s">
        <v>10</v>
      </c>
    </row>
    <row r="5" spans="1:6" ht="117.75" customHeight="1" x14ac:dyDescent="0.35">
      <c r="A5" s="3" t="s">
        <v>19</v>
      </c>
      <c r="B5" s="4" t="s">
        <v>20</v>
      </c>
      <c r="C5" s="4" t="s">
        <v>21</v>
      </c>
      <c r="D5" s="3">
        <v>24</v>
      </c>
      <c r="E5" s="4" t="s">
        <v>22</v>
      </c>
      <c r="F5" s="4" t="s">
        <v>10</v>
      </c>
    </row>
    <row r="6" spans="1:6" ht="117.75" customHeight="1" x14ac:dyDescent="0.35">
      <c r="A6" s="3" t="s">
        <v>23</v>
      </c>
      <c r="B6" s="4" t="s">
        <v>24</v>
      </c>
      <c r="C6" s="4" t="s">
        <v>25</v>
      </c>
      <c r="D6" s="3">
        <v>32</v>
      </c>
      <c r="E6" s="4" t="s">
        <v>26</v>
      </c>
      <c r="F6" s="4" t="s">
        <v>10</v>
      </c>
    </row>
    <row r="7" spans="1:6" ht="117.75" customHeight="1" x14ac:dyDescent="0.35">
      <c r="A7" s="3" t="s">
        <v>27</v>
      </c>
      <c r="B7" s="4" t="s">
        <v>28</v>
      </c>
      <c r="C7" s="4" t="s">
        <v>29</v>
      </c>
      <c r="D7" s="3">
        <v>32</v>
      </c>
      <c r="E7" s="4" t="s">
        <v>30</v>
      </c>
      <c r="F7" s="4" t="s">
        <v>10</v>
      </c>
    </row>
    <row r="8" spans="1:6" ht="117.75" customHeight="1" x14ac:dyDescent="0.35">
      <c r="A8" s="3" t="s">
        <v>31</v>
      </c>
      <c r="B8" s="4" t="s">
        <v>32</v>
      </c>
      <c r="C8" s="4" t="s">
        <v>33</v>
      </c>
      <c r="D8" s="3">
        <v>16</v>
      </c>
      <c r="E8" s="4" t="s">
        <v>34</v>
      </c>
      <c r="F8" s="4" t="s">
        <v>10</v>
      </c>
    </row>
    <row r="9" spans="1:6" ht="117.75" customHeight="1" x14ac:dyDescent="0.35">
      <c r="A9" s="3" t="s">
        <v>35</v>
      </c>
      <c r="B9" s="4" t="s">
        <v>36</v>
      </c>
      <c r="C9" s="4" t="s">
        <v>37</v>
      </c>
      <c r="D9" s="3">
        <v>24</v>
      </c>
      <c r="E9" s="4" t="s">
        <v>38</v>
      </c>
      <c r="F9" s="4" t="s">
        <v>10</v>
      </c>
    </row>
    <row r="10" spans="1:6" ht="117.75" customHeight="1" x14ac:dyDescent="0.35">
      <c r="A10" s="3" t="s">
        <v>39</v>
      </c>
      <c r="B10" s="4" t="s">
        <v>40</v>
      </c>
      <c r="C10" s="4" t="s">
        <v>41</v>
      </c>
      <c r="D10" s="3">
        <v>24</v>
      </c>
      <c r="E10" s="4" t="s">
        <v>42</v>
      </c>
      <c r="F10" s="4" t="s">
        <v>10</v>
      </c>
    </row>
    <row r="11" spans="1:6" ht="117.75" customHeight="1" x14ac:dyDescent="0.35">
      <c r="A11" s="3" t="s">
        <v>43</v>
      </c>
      <c r="B11" s="4" t="s">
        <v>44</v>
      </c>
      <c r="C11" s="4"/>
      <c r="D11" s="3">
        <v>16</v>
      </c>
      <c r="E11" s="4" t="s">
        <v>45</v>
      </c>
      <c r="F11" s="4" t="s">
        <v>10</v>
      </c>
    </row>
    <row r="12" spans="1:6" ht="117.75" customHeight="1" x14ac:dyDescent="0.35">
      <c r="A12" s="3" t="s">
        <v>46</v>
      </c>
      <c r="B12" s="4" t="s">
        <v>47</v>
      </c>
      <c r="C12" s="4" t="s">
        <v>48</v>
      </c>
      <c r="D12" s="3">
        <v>24</v>
      </c>
      <c r="E12" s="4" t="s">
        <v>49</v>
      </c>
      <c r="F12" s="4" t="s">
        <v>10</v>
      </c>
    </row>
    <row r="13" spans="1:6" ht="117.75" customHeight="1" x14ac:dyDescent="0.35">
      <c r="A13" s="19" t="s">
        <v>71</v>
      </c>
      <c r="B13" s="5" t="s">
        <v>50</v>
      </c>
      <c r="C13" s="6" t="s">
        <v>51</v>
      </c>
      <c r="D13" s="7">
        <v>18</v>
      </c>
      <c r="E13" s="8"/>
      <c r="F13" s="4" t="s">
        <v>10</v>
      </c>
    </row>
    <row r="14" spans="1:6" ht="117.75" customHeight="1" x14ac:dyDescent="0.35">
      <c r="A14" s="19" t="s">
        <v>72</v>
      </c>
      <c r="B14" s="9" t="s">
        <v>52</v>
      </c>
      <c r="C14" s="9" t="s">
        <v>53</v>
      </c>
      <c r="D14" s="7">
        <v>36</v>
      </c>
      <c r="E14" s="8" t="s">
        <v>54</v>
      </c>
      <c r="F14" s="4" t="s">
        <v>10</v>
      </c>
    </row>
    <row r="15" spans="1:6" ht="15" customHeight="1" x14ac:dyDescent="0.35">
      <c r="A15" s="19" t="s">
        <v>73</v>
      </c>
      <c r="B15" s="5" t="s">
        <v>55</v>
      </c>
      <c r="C15" s="9" t="s">
        <v>56</v>
      </c>
      <c r="D15" s="7">
        <v>45</v>
      </c>
      <c r="E15" s="8" t="s">
        <v>57</v>
      </c>
    </row>
    <row r="16" spans="1:6" ht="15" customHeight="1" x14ac:dyDescent="0.35">
      <c r="A16" s="5" t="s">
        <v>74</v>
      </c>
      <c r="B16" s="9" t="s">
        <v>58</v>
      </c>
      <c r="C16" s="9"/>
      <c r="D16" s="7">
        <v>36</v>
      </c>
      <c r="E16" s="8" t="s">
        <v>59</v>
      </c>
    </row>
    <row r="17" spans="1:5" ht="15" customHeight="1" x14ac:dyDescent="0.35">
      <c r="A17" s="10" t="s">
        <v>75</v>
      </c>
      <c r="B17" s="10" t="s">
        <v>60</v>
      </c>
      <c r="C17" s="10"/>
      <c r="D17" s="11">
        <v>4</v>
      </c>
      <c r="E17" s="8" t="s">
        <v>61</v>
      </c>
    </row>
    <row r="18" spans="1:5" ht="15" customHeight="1" x14ac:dyDescent="0.35">
      <c r="A18" s="20" t="s">
        <v>76</v>
      </c>
      <c r="B18" s="24"/>
      <c r="C18" s="25"/>
      <c r="D18" s="25"/>
      <c r="E18" s="26"/>
    </row>
    <row r="19" spans="1:5" ht="15" customHeight="1" x14ac:dyDescent="0.35">
      <c r="A19" s="6" t="s">
        <v>77</v>
      </c>
      <c r="B19" s="12" t="s">
        <v>62</v>
      </c>
      <c r="C19" s="12"/>
      <c r="D19" s="7">
        <v>2</v>
      </c>
      <c r="E19" s="8" t="s">
        <v>63</v>
      </c>
    </row>
    <row r="20" spans="1:5" ht="15" customHeight="1" x14ac:dyDescent="0.35">
      <c r="A20" s="6" t="s">
        <v>77</v>
      </c>
      <c r="B20" s="12" t="s">
        <v>64</v>
      </c>
      <c r="C20" s="12"/>
      <c r="D20" s="7">
        <v>27</v>
      </c>
      <c r="E20" s="8" t="s">
        <v>65</v>
      </c>
    </row>
    <row r="21" spans="1:5" ht="15" customHeight="1" x14ac:dyDescent="0.35">
      <c r="A21" s="6" t="s">
        <v>75</v>
      </c>
      <c r="B21" s="13" t="s">
        <v>66</v>
      </c>
      <c r="C21" s="13"/>
      <c r="D21" s="7">
        <v>39</v>
      </c>
      <c r="E21" s="14"/>
    </row>
    <row r="22" spans="1:5" ht="15" customHeight="1" x14ac:dyDescent="0.35">
      <c r="A22" s="21" t="s">
        <v>75</v>
      </c>
      <c r="B22" s="15" t="s">
        <v>67</v>
      </c>
      <c r="C22" s="15"/>
      <c r="D22" s="16">
        <v>8</v>
      </c>
      <c r="E22" s="14"/>
    </row>
    <row r="23" spans="1:5" ht="15" customHeight="1" x14ac:dyDescent="0.35">
      <c r="A23" s="27"/>
      <c r="B23" s="17" t="s">
        <v>68</v>
      </c>
      <c r="C23" s="17"/>
      <c r="D23" s="18">
        <f>SUM(D3:D22)</f>
        <v>447</v>
      </c>
      <c r="E23" s="14"/>
    </row>
    <row r="24" spans="1:5" ht="15" customHeight="1" x14ac:dyDescent="0.35">
      <c r="A24" s="27"/>
      <c r="B24" s="17" t="s">
        <v>69</v>
      </c>
      <c r="C24" s="17"/>
      <c r="D24" s="18">
        <f>540/9</f>
        <v>60</v>
      </c>
      <c r="E24" s="14"/>
    </row>
    <row r="25" spans="1:5" ht="15" customHeight="1" x14ac:dyDescent="0.35">
      <c r="A25" s="27"/>
      <c r="B25" s="17" t="s">
        <v>70</v>
      </c>
      <c r="C25" s="17"/>
      <c r="D25" s="18">
        <f>D24/5</f>
        <v>12</v>
      </c>
      <c r="E25" s="14"/>
    </row>
    <row r="26" spans="1:5" ht="15" customHeight="1" x14ac:dyDescent="0.35">
      <c r="A26" s="22"/>
      <c r="B26" s="22"/>
      <c r="C26" s="22"/>
      <c r="D26" s="18"/>
      <c r="E26" s="23"/>
    </row>
  </sheetData>
  <autoFilter ref="A1:F12" xr:uid="{00000000-0009-0000-0000-000000000000}"/>
  <mergeCells count="2">
    <mergeCell ref="B18:E18"/>
    <mergeCell ref="A23:A25"/>
  </mergeCells>
  <pageMargins left="0.75" right="0.75" top="1" bottom="1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AWS DevOps Curriculum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Bhatt, Aryan (Cognizant)</dc:creator>
  <cp:keywords/>
  <dc:description/>
  <cp:lastModifiedBy>Bhatt, Aryan (Cognizant)</cp:lastModifiedBy>
  <cp:revision>0</cp:revision>
  <dcterms:created xsi:type="dcterms:W3CDTF">2026-07-31T06:05:34Z</dcterms:created>
  <dcterms:modified xsi:type="dcterms:W3CDTF">2026-07-31T06:24:33Z</dcterms:modified>
  <cp:category/>
  <cp:contentStatus/>
</cp:coreProperties>
</file>