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307889\Downloads\"/>
    </mc:Choice>
  </mc:AlternateContent>
  <xr:revisionPtr revIDLastSave="0" documentId="13_ncr:1_{418E8869-E848-4CD0-BAE0-1BED4E1DED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iculum Tracker" sheetId="1" r:id="rId1"/>
    <sheet name="Summary" sheetId="2" r:id="rId2"/>
    <sheet name="Phase Summary" sheetId="3" r:id="rId3"/>
    <sheet name="Validation Notes" sheetId="4" r:id="rId4"/>
  </sheets>
  <definedNames>
    <definedName name="_xlnm._FilterDatabase" localSheetId="0" hidden="1">'Curriculum Tracker'!$A$1:$H$22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3" l="1"/>
  <c r="F22" i="1"/>
  <c r="B2" i="2" s="1"/>
</calcChain>
</file>

<file path=xl/sharedStrings.xml><?xml version="1.0" encoding="utf-8"?>
<sst xmlns="http://schemas.openxmlformats.org/spreadsheetml/2006/main" count="166" uniqueCount="134">
  <si>
    <t>S. No.</t>
  </si>
  <si>
    <t>Track / Category</t>
  </si>
  <si>
    <t>Module Name</t>
  </si>
  <si>
    <t>Content / Topics Covered</t>
  </si>
  <si>
    <t>Labs / Activities</t>
  </si>
  <si>
    <t>Hours</t>
  </si>
  <si>
    <t>Days</t>
  </si>
  <si>
    <t>Delivery Type</t>
  </si>
  <si>
    <t>AWS &amp; Cloud Foundation</t>
  </si>
  <si>
    <t>AWS Foundational Discussion</t>
  </si>
  <si>
    <t>• Cloud basics: public cloud, private cloud, hybrid cloud
• AWS global setup: Region, Availability Zone, edge location
• Service models: IaaS, PaaS, SaaS with simple examples
• Shared responsibility model: AWS responsibility vs learner responsibility
• IAM basics: account, user, group, role, policy
• Core service preview: EC2, S3, VPC, IAM, CloudWatch
• Billing basics: Free Tier, budgets, alerts, cleanup habits
• Console and AWS CLI orientation</t>
  </si>
  <si>
    <t>☑ Lab 1: Configure AWS CLI and verify identity using sts get-caller-identity
☑ Lab 2: Create a budget alert and identify billing, IAM, EC2, S3, and cleanup areas</t>
  </si>
  <si>
    <t>Day 1</t>
  </si>
  <si>
    <t>ILT/VILT</t>
  </si>
  <si>
    <t>AWS Application Integration</t>
  </si>
  <si>
    <t>Event-Driven Architecture with SNS, SQS &amp; EventBridge</t>
  </si>
  <si>
    <t>• Event-driven idea: one service sends an event, another service reacts
• Basic terms: producer, consumer, event, queue, topic, rule, target
• SQS basics: Standard queue, send message, receive message, delete message
• SNS basics: topic, subscription, publish message, email or SQS subscriber
• SNS fan-out: one message can go to more than one subscriber
• EventBridge basics: event bus, event pattern, rule, target
• DLQ basics: keep failed messages for later checking
• CloudWatch basics: verify logs, metrics, and cleanup resources</t>
  </si>
  <si>
    <t>☑ Lab 3: Create one SQS Standard queue, send/receive/delete one message, and delete the queue
☑ Lab 4: Create one SNS topic with email or SQS subscription, publish one message, verify delivery, and delete resources</t>
  </si>
  <si>
    <t>Day 2 – 4</t>
  </si>
  <si>
    <t>AWS Serverless</t>
  </si>
  <si>
    <t>Amazon API Gateway</t>
  </si>
  <si>
    <t>☑ Lab 5: Create a simple Lambda hello function and expose it with an HTTP API route
☑ Lab 6: Test the API from browser or curl, check CloudWatch logs, and delete API/Lambda resources</t>
  </si>
  <si>
    <t>Day 5 – 6</t>
  </si>
  <si>
    <t>AWS Lambda</t>
  </si>
  <si>
    <t>☑ Lab 7: Create a Python Lambda hello function, run a test event, and inspect CloudWatch logs
☑ Lab 8: Configure a small S3 trigger for text-file upload, verify Lambda log output, and clean up resources</t>
  </si>
  <si>
    <t>Day 7 – 9</t>
  </si>
  <si>
    <t>AWS Step Functions</t>
  </si>
  <si>
    <t>☑ Lab 9: Build a Pass + Choice state machine using sample JSON and review execution history
☑ Lab 10: Call one Lambda function from Step Functions, add Retry/Catch, test, and delete resources</t>
  </si>
  <si>
    <t>Day 10 – 12</t>
  </si>
  <si>
    <t>AWS Data Services</t>
  </si>
  <si>
    <t>AWS Glue — ETL &amp; Data Catalog</t>
  </si>
  <si>
    <t>☑ Lab 11: Create one Glue database and manual table schema for a tiny CSV sample
☑ Lab 12: Create a Glue Studio visual job draft with source, one transform, and target; run only if trainer approves cost</t>
  </si>
  <si>
    <t>Day 13 – 15</t>
  </si>
  <si>
    <t>AWS Containers</t>
  </si>
  <si>
    <t>Containers on AWS — Docker &amp; Amazon ECR</t>
  </si>
  <si>
    <t>• Container basics: image, container, Dockerfile, registry
• Docker run basics: pull image, run container, stop container
• Dockerfile basics: base image, copy files, expose port, command
• ECR basics: repository, image tag, push, pull
• Image hygiene: small image, clear tag, no secrets in image
• Scan concept: check image for known issues
• Cleanup: remove local images and delete test repository if created</t>
  </si>
  <si>
    <t>☑ Lab 13: Run a public Nginx container locally, open the page, stop the container, and remove it
☑ Lab 14: Build a tiny static web image locally and optionally push to ECR if trainer account permits</t>
  </si>
  <si>
    <t>Day 16 – 17</t>
  </si>
  <si>
    <t>Amazon ECS &amp; AWS Fargate</t>
  </si>
  <si>
    <t>• ECS basics: cluster, task definition, task, service
• Fargate idea: run containers without managing EC2 servers
• Task definition basics: image, CPU, memory, port, environment variable
• Networking basics: subnet, security group, public IP, container port
• Service basics: desired count and task replacement
• CloudWatch logs for container output
• Cost safety: review settings first; run tasks only under trainer approval</t>
  </si>
  <si>
    <t>☑ Lab 15: Create an ECS cluster and Fargate task definition using a public Nginx image; review settings only
☑ Lab 16: Map Docker concepts to ECS fields: image, port, CPU/memory, logs, security group, cleanup steps</t>
  </si>
  <si>
    <t>Day 18 – 20</t>
  </si>
  <si>
    <t>Amazon EKS &amp; Kubernetes on AWS</t>
  </si>
  <si>
    <t>• Kubernetes recap: pod, deployment, service, namespace
• EKS idea: AWS-managed Kubernetes control plane
• Worker options: managed nodes and Fargate profile awareness
• kubectl basics: get, describe, logs, apply, delete
• Service exposure concept: ClusterIP, LoadBalancer, Ingress overview
• Config basics: ConfigMap and Secret awareness
• Cost safety: do not create an EKS cluster in personal Free Tier account</t>
  </si>
  <si>
    <t>☑ Lab 17: Use local Minikube/kind or trainer sandbox to deploy Nginx and expose it with a basic service
☑ Lab 18: Open the EKS create-cluster wizard for walkthrough, identify required fields, and cancel before creation</t>
  </si>
  <si>
    <t>Day 21 – 23</t>
  </si>
  <si>
    <t>AWS AI &amp; Modernization</t>
  </si>
  <si>
    <t>AWS AI Services &amp; AWS Transform Basics</t>
  </si>
  <si>
    <t>• AI/ML/GenAI terms: simple definitions and use cases
• Bedrock basics: foundation model, prompt, response, guardrail awareness
• Amazon Q overview: business and developer assistant use cases
• AI services overview: Textract, Comprehend, Transcribe, Polly, Translate, Rekognition
• AWS Transform idea: AI-assisted modernization discussion
• Modernization keywords: assess, plan, transform, validate
• Responsible AI basics: privacy, human review, accuracy check</t>
  </si>
  <si>
    <t>☑ Lab 19: Prepare a simple service-selection sheet for OCR, translation, speech, sentiment, and image-label use cases
☑ Lab 20: Review AWS Transform workflow inputs, outputs, risks, and no-run cleanup rules</t>
  </si>
  <si>
    <t>Day 24 – 25</t>
  </si>
  <si>
    <t>Python &amp; AWS Automation</t>
  </si>
  <si>
    <t>Python for AWS Automation — Intermediate</t>
  </si>
  <si>
    <t>• Python fundamentals: variables, data types, operators
• Strings and collections: lists, tuples, sets, dictionaries
• Conditional statements and loops
• Functions: parameters, return values, scope
• File handling: read and write text files
• Working with JSON and simple config files
• Modules, packages, virtual environments, and pip basics
• Object-Oriented Programming: class, object, method
• Exception handling: try, except, finally
• Logging fundamentals for automation scripts
• Boto3 basics: client, resource, region, credentials
• S3 automation: list bucket, upload file, download file, delete file
• Lambda automation: invoke function and read response
• Debugging and cleanup best practices</t>
  </si>
  <si>
    <t>☑ Lab 21: Create a Python script that reads JSON, processes lists/dictionaries, and writes output to a file
☑ Lab 22: Create a Boto3 script to list S3 buckets and upload/download one small file</t>
  </si>
  <si>
    <t>Day 26 – 30</t>
  </si>
  <si>
    <t>DevOps CI/CD</t>
  </si>
  <si>
    <t>Jenkins</t>
  </si>
  <si>
    <t>• Role of CI/CD in application delivery
• Jenkins installation and initial setup overview
• Jenkins dashboard, jobs, builds, plugins, and nodes
• Global configuration and user roles
• Freestyle job creation and build steps
• Git and GitHub integration basics
• Build triggers: manual, SCM polling, webhook, cron
• Pipeline types: Declarative, Scripted, Multibranch
• Writing and running a simple Jenkinsfile</t>
  </si>
  <si>
    <t>☑ Lab 23: Build a simple Declarative Pipeline using Jenkinsfile and GitHub source repository</t>
  </si>
  <si>
    <t>Day 31 – 33</t>
  </si>
  <si>
    <t>DevOps Containers</t>
  </si>
  <si>
    <t>Docker Essentials</t>
  </si>
  <si>
    <t>• Introduction to Docker and container use cases
• Containers vs virtual machines
• Docker installation overview for Windows/Linux/Mac
• Docker images and containers
• Writing basic Dockerfiles
• Building and managing images
• Running, stopping, restarting containers
• Pushing and pulling images from Docker Hub or AWS ECR
• Basic image scanning concepts</t>
  </si>
  <si>
    <t>☑ Lab 24: Set up Docker locally and deploy a simple web application container</t>
  </si>
  <si>
    <t>Day 34 – 38</t>
  </si>
  <si>
    <t>DevOps Orchestration</t>
  </si>
  <si>
    <t>Kubernetes Overview</t>
  </si>
  <si>
    <t>• Kubernetes basics and architecture
• Kubernetes components: node, pod, deployment, service
• Running a simple pod and service
• Scaling and updating applications
• Exposing applications using ClusterIP, NodePort, and LoadBalancer
• Persistent Volume and Persistent Volume Claim awareness
• Canary deployment concept at beginner level
• Horizontal scaling concept at beginner level</t>
  </si>
  <si>
    <t>☑ Lab 25: Set up a local Kubernetes environment and deploy a simple web application
☑ Lab 26: Perform a basic scaling and rolling update exercise for the web application</t>
  </si>
  <si>
    <t>Day 39 – 44</t>
  </si>
  <si>
    <t>DevOps Automation</t>
  </si>
  <si>
    <t>Automation Build Tools — Terraform &amp; Python Basics</t>
  </si>
  <si>
    <t>• Infrastructure as Code concept
• Terraform basics: provider, resource, variable, output
• Terraform workflow: init, fmt, validate, plan, apply, destroy
• State-file awareness at beginner level
• Simple module concept
• Python basics refresh for automation scripts
• Combining scripts with CLI commands safely</t>
  </si>
  <si>
    <t>☑ Lab 27: Write a simple Terraform configuration and run init, fmt, validate, and plan
☑ Lab 28: Create a small Python helper script to read variables from a JSON config file</t>
  </si>
  <si>
    <t>Day 45 – 49</t>
  </si>
  <si>
    <t>Enablement</t>
  </si>
  <si>
    <t>Fundamentals of Gen AI &amp; ITIL Concepts</t>
  </si>
  <si>
    <t>• Gen AI fundamentals and workplace use cases
• Prompting basics and responsible usage
• ITIL concepts: incident, service request, change, problem
• Service management mindset for cloud and DevOps teams</t>
  </si>
  <si>
    <t>—</t>
  </si>
  <si>
    <t>Day 50</t>
  </si>
  <si>
    <t>Evaluation</t>
  </si>
  <si>
    <t>Final KBA Assessment</t>
  </si>
  <si>
    <t>• MCQ-based knowledge assessment
• Coverage: AWS, DevOps, automation, and enablement topics
• Review of frequently missed concepts after assessment</t>
  </si>
  <si>
    <t>Day 51</t>
  </si>
  <si>
    <t>Final Technical Evaluation</t>
  </si>
  <si>
    <t>• Hands-on technical evaluation
• Assessment of AWS basics, DevOps workflow, containers, Kubernetes, and automation
• Presentation or viva-style technical discussion
• Feedback and remediation pointers</t>
  </si>
  <si>
    <t>Day 52 – 55</t>
  </si>
  <si>
    <t>Behavioral Training</t>
  </si>
  <si>
    <t>• Workplace communication and collaboration
• Ownership, accountability, and professional discipline
• Presentation and stakeholder-facing communication
• Interview readiness and scenario-based discussion</t>
  </si>
  <si>
    <t>Day 56 – 59</t>
  </si>
  <si>
    <t>BU Mentor Connect</t>
  </si>
  <si>
    <t>• Business unit orientation
• Mentor connect and role expectation discussion
• Career guidance and project-readiness conversation
• Final closure and next-step alignment</t>
  </si>
  <si>
    <t>Day 60</t>
  </si>
  <si>
    <t>TOTAL</t>
  </si>
  <si>
    <t>Complete Curriculum Duration</t>
  </si>
  <si>
    <t>60 Days</t>
  </si>
  <si>
    <t>12 Weeks</t>
  </si>
  <si>
    <t>Metric</t>
  </si>
  <si>
    <t>Value</t>
  </si>
  <si>
    <t>Total Duration in Hours</t>
  </si>
  <si>
    <t>Total Duration in Days</t>
  </si>
  <si>
    <t>Total Duration in Weeks</t>
  </si>
  <si>
    <t>AWS + Python Block</t>
  </si>
  <si>
    <t>DevOps + Enablement + Evaluation Block</t>
  </si>
  <si>
    <t>Labs Numbered Sequentially</t>
  </si>
  <si>
    <t>Lab 1 to Lab 28</t>
  </si>
  <si>
    <t>Note</t>
  </si>
  <si>
    <t>DevOps curriculum hours are preserved; hour adjustment is applied before Jenkins in AWS/Python modules.</t>
  </si>
  <si>
    <t>Phase</t>
  </si>
  <si>
    <t>Day Range</t>
  </si>
  <si>
    <t>AWS + Python Foundation</t>
  </si>
  <si>
    <t>Day 1 – 30</t>
  </si>
  <si>
    <t>DevOps CI/CD, Containers, Kubernetes, Automation</t>
  </si>
  <si>
    <t>Day 31 – 49</t>
  </si>
  <si>
    <t>Enablement + Evaluation</t>
  </si>
  <si>
    <t>Day 50 – 60</t>
  </si>
  <si>
    <t>Day 1 – 60</t>
  </si>
  <si>
    <t>Check</t>
  </si>
  <si>
    <t>Status</t>
  </si>
  <si>
    <t>Target total hours</t>
  </si>
  <si>
    <t>447 hours</t>
  </si>
  <si>
    <t>Target total days</t>
  </si>
  <si>
    <t>60 days</t>
  </si>
  <si>
    <t>DevOps curriculum hours</t>
  </si>
  <si>
    <t>Preserved: Jenkins 18, Docker 36, Kubernetes 45, Automation 36, Gen AI/ITIL 4, KBA 2, Technical Evaluation 27, Behavioral 39, BU Mentor 8</t>
  </si>
  <si>
    <t>AWS/Python adjustment</t>
  </si>
  <si>
    <t>AWS + Python block aligned to 232 hours across Day 1 – 30</t>
  </si>
  <si>
    <t>Labs</t>
  </si>
  <si>
    <t>Lab numbers are sequential from Lab 1 to Lab 28</t>
  </si>
  <si>
    <t>• Serverless idea: run code without managing servers
• Lambda basics: function, runtime, handler, event, response
• IAM execution role: minimum permissions needed by the function
• Triggers overview: API Gateway, S3, SNS, SQS, EventBridge
• CloudWatch logs: print, test, troubleshoot
• Timeout and memory basics
• Cleanup habits to avoid unwanted charges</t>
  </si>
  <si>
    <t>• API basics: client, endpoint, route, method, response
• HTTP API vs REST API at a simple decision level
• Lambda integration: API calls trigger backend code
• CORS concept at awareness level
• CloudWatch logs and cleanup after testing</t>
  </si>
  <si>
    <t>• Workflow idea: connect multiple steps in one visible flow
• State machine basics: StartAt, States, Input, Output
• Basic states: Pass, Task, Choice, Wait, Succeed, Fail
• Lambda task state: call one function from a workflow
• Execution history: see what happened step by step</t>
  </si>
  <si>
    <t>• ETL basics: extract data, transform data, load output
• S3 data layout: raw folder and processed folder
• Glue Data Catalog: database, table, schema, metadata
• Crawler concept: scans data and creates table metadata
• Glue Studio concept: visual source, transform, target flow
• Cost safety: keep data tiny, prefer catalog-only practice, delete test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</si>
</sst>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0"/>
      <name val="Aptos"/>
      <charset val="1"/>
    </font>
    <font>
      <b/>
      <sz val="10"/>
      <color rgb="FF1F4E78"/>
      <name val="Aptos"/>
      <charset val="1"/>
    </font>
    <font>
      <b/>
      <sz val="11"/>
      <name val="Aptos"/>
      <charset val="1"/>
    </font>
    <font>
      <b/>
      <sz val="10"/>
      <name val="Aptos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AD3"/>
      </patternFill>
    </fill>
    <fill>
      <patternFill patternType="solid">
        <fgColor rgb="FFD9EAD3"/>
        <bgColor rgb="FFE2F0D9"/>
      </patternFill>
    </fill>
    <fill>
      <patternFill patternType="solid">
        <fgColor theme="3" tint="0.59999389629810485"/>
        <bgColor rgb="FFD9EAD3"/>
      </patternFill>
    </fill>
    <fill>
      <patternFill patternType="solid">
        <fgColor theme="3" tint="0.59999389629810485"/>
        <bgColor rgb="FFE2F0D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5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3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topLeftCell="B1" zoomScaleNormal="100" workbookViewId="0">
      <pane ySplit="1" topLeftCell="A12" activePane="bottomLeft" state="frozen"/>
      <selection pane="bottomLeft" activeCell="D7" sqref="D7"/>
    </sheetView>
  </sheetViews>
  <sheetFormatPr defaultColWidth="8.7265625" defaultRowHeight="14.5" x14ac:dyDescent="0.35"/>
  <cols>
    <col min="1" max="1" width="8" customWidth="1"/>
    <col min="2" max="2" width="24" customWidth="1"/>
    <col min="3" max="3" width="36" customWidth="1"/>
    <col min="4" max="4" width="68" customWidth="1"/>
    <col min="5" max="5" width="62" customWidth="1"/>
    <col min="6" max="6" width="10" customWidth="1"/>
    <col min="7" max="7" width="16" customWidth="1"/>
    <col min="8" max="8" width="14" customWidth="1"/>
  </cols>
  <sheetData>
    <row r="1" spans="1:8" ht="31.5" customHeight="1" thickBot="1" x14ac:dyDescent="0.4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44.75" customHeight="1" x14ac:dyDescent="0.35">
      <c r="A2" s="11">
        <v>1</v>
      </c>
      <c r="B2" s="12" t="s">
        <v>8</v>
      </c>
      <c r="C2" s="13" t="s">
        <v>9</v>
      </c>
      <c r="D2" s="14" t="s">
        <v>10</v>
      </c>
      <c r="E2" s="14" t="s">
        <v>11</v>
      </c>
      <c r="F2" s="15">
        <v>8</v>
      </c>
      <c r="G2" s="16" t="s">
        <v>12</v>
      </c>
      <c r="H2" s="17" t="s">
        <v>13</v>
      </c>
    </row>
    <row r="3" spans="1:8" ht="144.75" customHeight="1" x14ac:dyDescent="0.35">
      <c r="A3" s="18">
        <v>2</v>
      </c>
      <c r="B3" s="4" t="s">
        <v>14</v>
      </c>
      <c r="C3" s="5" t="s">
        <v>15</v>
      </c>
      <c r="D3" s="9" t="s">
        <v>16</v>
      </c>
      <c r="E3" s="9" t="s">
        <v>17</v>
      </c>
      <c r="F3" s="8">
        <v>24</v>
      </c>
      <c r="G3" s="10" t="s">
        <v>18</v>
      </c>
      <c r="H3" s="19" t="s">
        <v>13</v>
      </c>
    </row>
    <row r="4" spans="1:8" ht="144.75" customHeight="1" x14ac:dyDescent="0.35">
      <c r="A4" s="18">
        <v>3</v>
      </c>
      <c r="B4" s="4" t="s">
        <v>19</v>
      </c>
      <c r="C4" s="5" t="s">
        <v>20</v>
      </c>
      <c r="D4" s="9" t="s">
        <v>131</v>
      </c>
      <c r="E4" s="9" t="s">
        <v>21</v>
      </c>
      <c r="F4" s="8">
        <v>16</v>
      </c>
      <c r="G4" s="10" t="s">
        <v>22</v>
      </c>
      <c r="H4" s="19" t="s">
        <v>13</v>
      </c>
    </row>
    <row r="5" spans="1:8" ht="144.75" customHeight="1" x14ac:dyDescent="0.35">
      <c r="A5" s="18">
        <v>4</v>
      </c>
      <c r="B5" s="4" t="s">
        <v>19</v>
      </c>
      <c r="C5" s="5" t="s">
        <v>23</v>
      </c>
      <c r="D5" s="9" t="s">
        <v>130</v>
      </c>
      <c r="E5" s="9" t="s">
        <v>24</v>
      </c>
      <c r="F5" s="8">
        <v>24</v>
      </c>
      <c r="G5" s="10" t="s">
        <v>25</v>
      </c>
      <c r="H5" s="19" t="s">
        <v>13</v>
      </c>
    </row>
    <row r="6" spans="1:8" ht="144.75" customHeight="1" x14ac:dyDescent="0.35">
      <c r="A6" s="18">
        <v>5</v>
      </c>
      <c r="B6" s="4" t="s">
        <v>19</v>
      </c>
      <c r="C6" s="5" t="s">
        <v>26</v>
      </c>
      <c r="D6" s="9" t="s">
        <v>132</v>
      </c>
      <c r="E6" s="9" t="s">
        <v>27</v>
      </c>
      <c r="F6" s="8">
        <v>24</v>
      </c>
      <c r="G6" s="10" t="s">
        <v>28</v>
      </c>
      <c r="H6" s="19" t="s">
        <v>13</v>
      </c>
    </row>
    <row r="7" spans="1:8" ht="144.75" customHeight="1" x14ac:dyDescent="0.35">
      <c r="A7" s="18">
        <v>6</v>
      </c>
      <c r="B7" s="4" t="s">
        <v>29</v>
      </c>
      <c r="C7" s="5" t="s">
        <v>30</v>
      </c>
      <c r="D7" s="9" t="s">
        <v>133</v>
      </c>
      <c r="E7" s="9" t="s">
        <v>31</v>
      </c>
      <c r="F7" s="8">
        <v>24</v>
      </c>
      <c r="G7" s="10" t="s">
        <v>32</v>
      </c>
      <c r="H7" s="19" t="s">
        <v>13</v>
      </c>
    </row>
    <row r="8" spans="1:8" ht="144.75" customHeight="1" x14ac:dyDescent="0.35">
      <c r="A8" s="18">
        <v>7</v>
      </c>
      <c r="B8" s="4" t="s">
        <v>33</v>
      </c>
      <c r="C8" s="5" t="s">
        <v>34</v>
      </c>
      <c r="D8" s="9" t="s">
        <v>35</v>
      </c>
      <c r="E8" s="9" t="s">
        <v>36</v>
      </c>
      <c r="F8" s="8">
        <v>16</v>
      </c>
      <c r="G8" s="10" t="s">
        <v>37</v>
      </c>
      <c r="H8" s="19" t="s">
        <v>13</v>
      </c>
    </row>
    <row r="9" spans="1:8" ht="144.75" customHeight="1" x14ac:dyDescent="0.35">
      <c r="A9" s="18">
        <v>8</v>
      </c>
      <c r="B9" s="4" t="s">
        <v>33</v>
      </c>
      <c r="C9" s="5" t="s">
        <v>38</v>
      </c>
      <c r="D9" s="9" t="s">
        <v>39</v>
      </c>
      <c r="E9" s="9" t="s">
        <v>40</v>
      </c>
      <c r="F9" s="8">
        <v>24</v>
      </c>
      <c r="G9" s="10" t="s">
        <v>41</v>
      </c>
      <c r="H9" s="19" t="s">
        <v>13</v>
      </c>
    </row>
    <row r="10" spans="1:8" ht="144.75" customHeight="1" x14ac:dyDescent="0.35">
      <c r="A10" s="18">
        <v>9</v>
      </c>
      <c r="B10" s="4" t="s">
        <v>33</v>
      </c>
      <c r="C10" s="5" t="s">
        <v>42</v>
      </c>
      <c r="D10" s="9" t="s">
        <v>43</v>
      </c>
      <c r="E10" s="9" t="s">
        <v>44</v>
      </c>
      <c r="F10" s="8">
        <v>24</v>
      </c>
      <c r="G10" s="10" t="s">
        <v>45</v>
      </c>
      <c r="H10" s="19" t="s">
        <v>13</v>
      </c>
    </row>
    <row r="11" spans="1:8" ht="144.75" customHeight="1" x14ac:dyDescent="0.35">
      <c r="A11" s="18">
        <v>10</v>
      </c>
      <c r="B11" s="4" t="s">
        <v>46</v>
      </c>
      <c r="C11" s="5" t="s">
        <v>47</v>
      </c>
      <c r="D11" s="9" t="s">
        <v>48</v>
      </c>
      <c r="E11" s="9" t="s">
        <v>49</v>
      </c>
      <c r="F11" s="8">
        <v>16</v>
      </c>
      <c r="G11" s="10" t="s">
        <v>50</v>
      </c>
      <c r="H11" s="19" t="s">
        <v>13</v>
      </c>
    </row>
    <row r="12" spans="1:8" ht="184.5" customHeight="1" x14ac:dyDescent="0.35">
      <c r="A12" s="18">
        <v>11</v>
      </c>
      <c r="B12" s="4" t="s">
        <v>51</v>
      </c>
      <c r="C12" s="5" t="s">
        <v>52</v>
      </c>
      <c r="D12" s="9" t="s">
        <v>53</v>
      </c>
      <c r="E12" s="9" t="s">
        <v>54</v>
      </c>
      <c r="F12" s="8">
        <v>32</v>
      </c>
      <c r="G12" s="10" t="s">
        <v>55</v>
      </c>
      <c r="H12" s="19" t="s">
        <v>13</v>
      </c>
    </row>
    <row r="13" spans="1:8" ht="144.75" customHeight="1" x14ac:dyDescent="0.35">
      <c r="A13" s="18">
        <v>12</v>
      </c>
      <c r="B13" s="4" t="s">
        <v>56</v>
      </c>
      <c r="C13" s="5" t="s">
        <v>57</v>
      </c>
      <c r="D13" s="9" t="s">
        <v>58</v>
      </c>
      <c r="E13" s="9" t="s">
        <v>59</v>
      </c>
      <c r="F13" s="8">
        <v>18</v>
      </c>
      <c r="G13" s="10" t="s">
        <v>60</v>
      </c>
      <c r="H13" s="19" t="s">
        <v>13</v>
      </c>
    </row>
    <row r="14" spans="1:8" ht="159.75" customHeight="1" x14ac:dyDescent="0.35">
      <c r="A14" s="18">
        <v>13</v>
      </c>
      <c r="B14" s="4" t="s">
        <v>61</v>
      </c>
      <c r="C14" s="5" t="s">
        <v>62</v>
      </c>
      <c r="D14" s="9" t="s">
        <v>63</v>
      </c>
      <c r="E14" s="9" t="s">
        <v>64</v>
      </c>
      <c r="F14" s="8">
        <v>36</v>
      </c>
      <c r="G14" s="10" t="s">
        <v>65</v>
      </c>
      <c r="H14" s="19" t="s">
        <v>13</v>
      </c>
    </row>
    <row r="15" spans="1:8" ht="184.5" customHeight="1" x14ac:dyDescent="0.35">
      <c r="A15" s="18">
        <v>14</v>
      </c>
      <c r="B15" s="4" t="s">
        <v>66</v>
      </c>
      <c r="C15" s="5" t="s">
        <v>67</v>
      </c>
      <c r="D15" s="9" t="s">
        <v>68</v>
      </c>
      <c r="E15" s="9" t="s">
        <v>69</v>
      </c>
      <c r="F15" s="8">
        <v>45</v>
      </c>
      <c r="G15" s="10" t="s">
        <v>70</v>
      </c>
      <c r="H15" s="19" t="s">
        <v>13</v>
      </c>
    </row>
    <row r="16" spans="1:8" ht="120" customHeight="1" x14ac:dyDescent="0.35">
      <c r="A16" s="18">
        <v>15</v>
      </c>
      <c r="B16" s="4" t="s">
        <v>71</v>
      </c>
      <c r="C16" s="5" t="s">
        <v>72</v>
      </c>
      <c r="D16" s="9" t="s">
        <v>73</v>
      </c>
      <c r="E16" s="9" t="s">
        <v>74</v>
      </c>
      <c r="F16" s="8">
        <v>36</v>
      </c>
      <c r="G16" s="10" t="s">
        <v>75</v>
      </c>
      <c r="H16" s="19" t="s">
        <v>13</v>
      </c>
    </row>
    <row r="17" spans="1:8" ht="144.75" customHeight="1" x14ac:dyDescent="0.35">
      <c r="A17" s="18">
        <v>16</v>
      </c>
      <c r="B17" s="4" t="s">
        <v>76</v>
      </c>
      <c r="C17" s="5" t="s">
        <v>77</v>
      </c>
      <c r="D17" s="9" t="s">
        <v>78</v>
      </c>
      <c r="E17" s="9" t="s">
        <v>79</v>
      </c>
      <c r="F17" s="8">
        <v>4</v>
      </c>
      <c r="G17" s="10" t="s">
        <v>80</v>
      </c>
      <c r="H17" s="19" t="s">
        <v>76</v>
      </c>
    </row>
    <row r="18" spans="1:8" ht="144.75" customHeight="1" x14ac:dyDescent="0.35">
      <c r="A18" s="18">
        <v>17</v>
      </c>
      <c r="B18" s="4" t="s">
        <v>81</v>
      </c>
      <c r="C18" s="5" t="s">
        <v>82</v>
      </c>
      <c r="D18" s="9" t="s">
        <v>83</v>
      </c>
      <c r="E18" s="9" t="s">
        <v>79</v>
      </c>
      <c r="F18" s="8">
        <v>2</v>
      </c>
      <c r="G18" s="10" t="s">
        <v>84</v>
      </c>
      <c r="H18" s="19" t="s">
        <v>81</v>
      </c>
    </row>
    <row r="19" spans="1:8" ht="35" customHeight="1" x14ac:dyDescent="0.35">
      <c r="A19" s="18">
        <v>18</v>
      </c>
      <c r="B19" s="20" t="s">
        <v>81</v>
      </c>
      <c r="C19" s="21" t="s">
        <v>85</v>
      </c>
      <c r="D19" s="9" t="s">
        <v>86</v>
      </c>
      <c r="E19" s="9" t="s">
        <v>79</v>
      </c>
      <c r="F19" s="8">
        <v>27</v>
      </c>
      <c r="G19" s="10" t="s">
        <v>87</v>
      </c>
      <c r="H19" s="19" t="s">
        <v>81</v>
      </c>
    </row>
    <row r="20" spans="1:8" ht="35" customHeight="1" x14ac:dyDescent="0.35">
      <c r="A20" s="18">
        <v>19</v>
      </c>
      <c r="B20" s="20" t="s">
        <v>76</v>
      </c>
      <c r="C20" s="21" t="s">
        <v>88</v>
      </c>
      <c r="D20" s="9" t="s">
        <v>89</v>
      </c>
      <c r="E20" s="9" t="s">
        <v>79</v>
      </c>
      <c r="F20" s="8">
        <v>39</v>
      </c>
      <c r="G20" s="10" t="s">
        <v>90</v>
      </c>
      <c r="H20" s="19" t="s">
        <v>76</v>
      </c>
    </row>
    <row r="21" spans="1:8" ht="35" customHeight="1" x14ac:dyDescent="0.35">
      <c r="A21" s="18">
        <v>20</v>
      </c>
      <c r="B21" s="20" t="s">
        <v>76</v>
      </c>
      <c r="C21" s="21" t="s">
        <v>91</v>
      </c>
      <c r="D21" s="9" t="s">
        <v>92</v>
      </c>
      <c r="E21" s="9" t="s">
        <v>79</v>
      </c>
      <c r="F21" s="8">
        <v>8</v>
      </c>
      <c r="G21" s="10" t="s">
        <v>93</v>
      </c>
      <c r="H21" s="19" t="s">
        <v>76</v>
      </c>
    </row>
    <row r="22" spans="1:8" ht="27.75" customHeight="1" thickBot="1" x14ac:dyDescent="0.4">
      <c r="A22" s="22"/>
      <c r="B22" s="23" t="s">
        <v>94</v>
      </c>
      <c r="C22" s="23" t="s">
        <v>95</v>
      </c>
      <c r="D22" s="23"/>
      <c r="E22" s="23"/>
      <c r="F22" s="23">
        <f>SUM(F2:F21)</f>
        <v>447</v>
      </c>
      <c r="G22" s="23" t="s">
        <v>96</v>
      </c>
      <c r="H22" s="24" t="s">
        <v>97</v>
      </c>
    </row>
  </sheetData>
  <autoFilter ref="A1:H22" xr:uid="{00000000-0009-0000-0000-000000000000}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zoomScaleNormal="100" workbookViewId="0"/>
  </sheetViews>
  <sheetFormatPr defaultColWidth="8.7265625" defaultRowHeight="14.5" x14ac:dyDescent="0.35"/>
  <cols>
    <col min="1" max="1" width="42" customWidth="1"/>
    <col min="2" max="2" width="70" customWidth="1"/>
  </cols>
  <sheetData>
    <row r="1" spans="1:2" x14ac:dyDescent="0.35">
      <c r="A1" s="2" t="s">
        <v>98</v>
      </c>
      <c r="B1" s="2" t="s">
        <v>99</v>
      </c>
    </row>
    <row r="2" spans="1:2" x14ac:dyDescent="0.35">
      <c r="A2" s="1" t="s">
        <v>100</v>
      </c>
      <c r="B2" s="1">
        <f>'Curriculum Tracker'!F22</f>
        <v>447</v>
      </c>
    </row>
    <row r="3" spans="1:2" x14ac:dyDescent="0.35">
      <c r="A3" s="1" t="s">
        <v>101</v>
      </c>
      <c r="B3" s="1">
        <v>60</v>
      </c>
    </row>
    <row r="4" spans="1:2" x14ac:dyDescent="0.35">
      <c r="A4" s="1" t="s">
        <v>102</v>
      </c>
      <c r="B4" s="1">
        <v>12</v>
      </c>
    </row>
    <row r="5" spans="1:2" x14ac:dyDescent="0.35">
      <c r="A5" s="1" t="s">
        <v>103</v>
      </c>
      <c r="B5" s="1">
        <v>232</v>
      </c>
    </row>
    <row r="6" spans="1:2" x14ac:dyDescent="0.35">
      <c r="A6" s="1" t="s">
        <v>104</v>
      </c>
      <c r="B6" s="1">
        <v>215</v>
      </c>
    </row>
    <row r="7" spans="1:2" x14ac:dyDescent="0.35">
      <c r="A7" s="1" t="s">
        <v>105</v>
      </c>
      <c r="B7" s="1" t="s">
        <v>106</v>
      </c>
    </row>
    <row r="8" spans="1:2" ht="26" x14ac:dyDescent="0.35">
      <c r="A8" s="1" t="s">
        <v>107</v>
      </c>
      <c r="B8" s="1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zoomScaleNormal="100" workbookViewId="0"/>
  </sheetViews>
  <sheetFormatPr defaultColWidth="8.7265625" defaultRowHeight="14.5" x14ac:dyDescent="0.35"/>
  <cols>
    <col min="1" max="1" width="52" customWidth="1"/>
    <col min="2" max="2" width="20" customWidth="1"/>
    <col min="3" max="3" width="12" customWidth="1"/>
  </cols>
  <sheetData>
    <row r="1" spans="1:3" x14ac:dyDescent="0.35">
      <c r="A1" s="2" t="s">
        <v>109</v>
      </c>
      <c r="B1" s="2" t="s">
        <v>110</v>
      </c>
      <c r="C1" s="2" t="s">
        <v>5</v>
      </c>
    </row>
    <row r="2" spans="1:3" x14ac:dyDescent="0.35">
      <c r="A2" s="1" t="s">
        <v>111</v>
      </c>
      <c r="B2" s="1" t="s">
        <v>112</v>
      </c>
      <c r="C2" s="1">
        <v>232</v>
      </c>
    </row>
    <row r="3" spans="1:3" x14ac:dyDescent="0.35">
      <c r="A3" s="1" t="s">
        <v>113</v>
      </c>
      <c r="B3" s="1" t="s">
        <v>114</v>
      </c>
      <c r="C3" s="1">
        <v>135</v>
      </c>
    </row>
    <row r="4" spans="1:3" x14ac:dyDescent="0.35">
      <c r="A4" s="1" t="s">
        <v>115</v>
      </c>
      <c r="B4" s="1" t="s">
        <v>116</v>
      </c>
      <c r="C4" s="1">
        <v>80</v>
      </c>
    </row>
    <row r="5" spans="1:3" x14ac:dyDescent="0.35">
      <c r="A5" s="3" t="s">
        <v>94</v>
      </c>
      <c r="B5" s="3" t="s">
        <v>117</v>
      </c>
      <c r="C5" s="3">
        <f>SUM(C2:C4)</f>
        <v>447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zoomScaleNormal="100" workbookViewId="0"/>
  </sheetViews>
  <sheetFormatPr defaultColWidth="8.7265625" defaultRowHeight="14.5" x14ac:dyDescent="0.35"/>
  <cols>
    <col min="1" max="1" width="34" customWidth="1"/>
    <col min="2" max="2" width="120" customWidth="1"/>
  </cols>
  <sheetData>
    <row r="1" spans="1:2" x14ac:dyDescent="0.35">
      <c r="A1" s="2" t="s">
        <v>118</v>
      </c>
      <c r="B1" s="2" t="s">
        <v>119</v>
      </c>
    </row>
    <row r="2" spans="1:2" x14ac:dyDescent="0.35">
      <c r="A2" s="1" t="s">
        <v>120</v>
      </c>
      <c r="B2" s="1" t="s">
        <v>121</v>
      </c>
    </row>
    <row r="3" spans="1:2" x14ac:dyDescent="0.35">
      <c r="A3" s="1" t="s">
        <v>122</v>
      </c>
      <c r="B3" s="1" t="s">
        <v>123</v>
      </c>
    </row>
    <row r="4" spans="1:2" x14ac:dyDescent="0.35">
      <c r="A4" s="1" t="s">
        <v>124</v>
      </c>
      <c r="B4" s="1" t="s">
        <v>125</v>
      </c>
    </row>
    <row r="5" spans="1:2" x14ac:dyDescent="0.35">
      <c r="A5" s="1" t="s">
        <v>126</v>
      </c>
      <c r="B5" s="1" t="s">
        <v>127</v>
      </c>
    </row>
    <row r="6" spans="1:2" x14ac:dyDescent="0.35">
      <c r="A6" s="1" t="s">
        <v>128</v>
      </c>
      <c r="B6" s="1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Curriculum Tracker</vt:lpstr>
      <vt:lpstr>Summary</vt:lpstr>
      <vt:lpstr>Phase Summary</vt:lpstr>
      <vt:lpstr>Validation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Bhatt, Aryan (Cognizant)</dc:creator>
  <cp:keywords/>
  <dc:description/>
  <cp:lastModifiedBy>Bhatt, Aryan (Cognizant)</cp:lastModifiedBy>
  <cp:revision>0</cp:revision>
  <dcterms:created xsi:type="dcterms:W3CDTF">2026-07-31T06:29:42Z</dcterms:created>
  <dcterms:modified xsi:type="dcterms:W3CDTF">2026-07-31T06:43:13Z</dcterms:modified>
  <cp:category/>
  <cp:contentStatus/>
</cp:coreProperties>
</file>