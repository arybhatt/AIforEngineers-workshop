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2307889\Downloads\"/>
    </mc:Choice>
  </mc:AlternateContent>
  <xr:revisionPtr revIDLastSave="0" documentId="13_ncr:1_{28AAB1CF-E4CE-4DFC-9B83-BB8C3C1164BA}" xr6:coauthVersionLast="47" xr6:coauthVersionMax="47" xr10:uidLastSave="{00000000-0000-0000-0000-000000000000}"/>
  <bookViews>
    <workbookView xWindow="-110" yWindow="-110" windowWidth="19420" windowHeight="10300" firstSheet="1" activeTab="2" xr2:uid="{00000000-000D-0000-FFFF-FFFF00000000}"/>
  </bookViews>
  <sheets>
    <sheet name="Performance Outcome" sheetId="8" r:id="rId1"/>
    <sheet name="About Curriculum" sheetId="4" r:id="rId2"/>
    <sheet name="AWS Core Module list" sheetId="3" r:id="rId3"/>
    <sheet name="TOC_Stage1" sheetId="5" r:id="rId4"/>
    <sheet name="TOC_Stage 2" sheetId="9" r:id="rId5"/>
    <sheet name="TOC_Python" sheetId="19" r:id="rId6"/>
    <sheet name="AI Accelerate - Coverage" sheetId="13" r:id="rId7"/>
    <sheet name="TOC_ITIL" sheetId="17" r:id="rId8"/>
    <sheet name="TOC_Git Hub copilot " sheetId="14" r:id="rId9"/>
    <sheet name="TOC_AI Agents" sheetId="18" r:id="rId10"/>
    <sheet name="Software Req" sheetId="15" r:id="rId11"/>
    <sheet name="BH Training" sheetId="16"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_______cps2" localSheetId="6">'[1]Working Sheet'!$CQ$7:$CQ$9</definedName>
    <definedName name="________cps2" localSheetId="11">'[1]Working Sheet'!$CQ$7:$CQ$9</definedName>
    <definedName name="________cps2" localSheetId="0">'[2]Working Sheet'!$CQ$7:$CQ$9</definedName>
    <definedName name="________cps2" localSheetId="10">'[1]Working Sheet'!$CQ$7:$CQ$9</definedName>
    <definedName name="________cps2" localSheetId="9">'[1]Working Sheet'!$CQ$7:$CQ$9</definedName>
    <definedName name="________cps2" localSheetId="8">'[1]Working Sheet'!$CQ$7:$CQ$9</definedName>
    <definedName name="________cps2" localSheetId="7">'[1]Working Sheet'!$CQ$7:$CQ$9</definedName>
    <definedName name="________cps2" localSheetId="5">'[1]Working Sheet'!$CQ$7:$CQ$9</definedName>
    <definedName name="________cps2">'[3]Working Sheet'!$CQ$7:$CQ$9</definedName>
    <definedName name="________cps3" localSheetId="6">'[1]Working Sheet'!$CQ$7:$CQ$9</definedName>
    <definedName name="________cps3" localSheetId="11">'[1]Working Sheet'!$CQ$7:$CQ$9</definedName>
    <definedName name="________cps3" localSheetId="0">'[2]Working Sheet'!$CQ$7:$CQ$9</definedName>
    <definedName name="________cps3" localSheetId="10">'[1]Working Sheet'!$CQ$7:$CQ$9</definedName>
    <definedName name="________cps3" localSheetId="9">'[1]Working Sheet'!$CQ$7:$CQ$9</definedName>
    <definedName name="________cps3" localSheetId="8">'[1]Working Sheet'!$CQ$7:$CQ$9</definedName>
    <definedName name="________cps3" localSheetId="7">'[1]Working Sheet'!$CQ$7:$CQ$9</definedName>
    <definedName name="________cps3" localSheetId="5">'[1]Working Sheet'!$CQ$7:$CQ$9</definedName>
    <definedName name="________cps3">'[3]Working Sheet'!$CQ$7:$CQ$9</definedName>
    <definedName name="_______cps2" localSheetId="6">'[1]Working Sheet'!$CQ$7:$CQ$9</definedName>
    <definedName name="_______cps2" localSheetId="11">'[1]Working Sheet'!$CQ$7:$CQ$9</definedName>
    <definedName name="_______cps2" localSheetId="0">'[2]Working Sheet'!$CQ$7:$CQ$9</definedName>
    <definedName name="_______cps2" localSheetId="10">'[1]Working Sheet'!$CQ$7:$CQ$9</definedName>
    <definedName name="_______cps2" localSheetId="9">'[1]Working Sheet'!$CQ$7:$CQ$9</definedName>
    <definedName name="_______cps2" localSheetId="8">'[1]Working Sheet'!$CQ$7:$CQ$9</definedName>
    <definedName name="_______cps2" localSheetId="7">'[1]Working Sheet'!$CQ$7:$CQ$9</definedName>
    <definedName name="_______cps2" localSheetId="5">'[1]Working Sheet'!$CQ$7:$CQ$9</definedName>
    <definedName name="_______cps2">'[3]Working Sheet'!$CQ$7:$CQ$9</definedName>
    <definedName name="_______cps3" localSheetId="6">'[1]Working Sheet'!$CQ$7:$CQ$9</definedName>
    <definedName name="_______cps3" localSheetId="11">'[1]Working Sheet'!$CQ$7:$CQ$9</definedName>
    <definedName name="_______cps3" localSheetId="0">'[2]Working Sheet'!$CQ$7:$CQ$9</definedName>
    <definedName name="_______cps3" localSheetId="10">'[1]Working Sheet'!$CQ$7:$CQ$9</definedName>
    <definedName name="_______cps3" localSheetId="9">'[1]Working Sheet'!$CQ$7:$CQ$9</definedName>
    <definedName name="_______cps3" localSheetId="8">'[1]Working Sheet'!$CQ$7:$CQ$9</definedName>
    <definedName name="_______cps3" localSheetId="7">'[1]Working Sheet'!$CQ$7:$CQ$9</definedName>
    <definedName name="_______cps3" localSheetId="5">'[1]Working Sheet'!$CQ$7:$CQ$9</definedName>
    <definedName name="_______cps3">'[3]Working Sheet'!$CQ$7:$CQ$9</definedName>
    <definedName name="______cps2" localSheetId="6">'[1]Working Sheet'!$CQ$7:$CQ$9</definedName>
    <definedName name="______cps2" localSheetId="11">'[1]Working Sheet'!$CQ$7:$CQ$9</definedName>
    <definedName name="______cps2" localSheetId="0">'[2]Working Sheet'!$CQ$7:$CQ$9</definedName>
    <definedName name="______cps2" localSheetId="10">'[1]Working Sheet'!$CQ$7:$CQ$9</definedName>
    <definedName name="______cps2" localSheetId="9">'[1]Working Sheet'!$CQ$7:$CQ$9</definedName>
    <definedName name="______cps2" localSheetId="8">'[1]Working Sheet'!$CQ$7:$CQ$9</definedName>
    <definedName name="______cps2" localSheetId="7">'[1]Working Sheet'!$CQ$7:$CQ$9</definedName>
    <definedName name="______cps2" localSheetId="5">'[1]Working Sheet'!$CQ$7:$CQ$9</definedName>
    <definedName name="______cps2">'[3]Working Sheet'!$CQ$7:$CQ$9</definedName>
    <definedName name="______cps3" localSheetId="6">'[1]Working Sheet'!$CQ$7:$CQ$9</definedName>
    <definedName name="______cps3" localSheetId="11">'[1]Working Sheet'!$CQ$7:$CQ$9</definedName>
    <definedName name="______cps3" localSheetId="0">'[2]Working Sheet'!$CQ$7:$CQ$9</definedName>
    <definedName name="______cps3" localSheetId="10">'[1]Working Sheet'!$CQ$7:$CQ$9</definedName>
    <definedName name="______cps3" localSheetId="9">'[1]Working Sheet'!$CQ$7:$CQ$9</definedName>
    <definedName name="______cps3" localSheetId="8">'[1]Working Sheet'!$CQ$7:$CQ$9</definedName>
    <definedName name="______cps3" localSheetId="7">'[1]Working Sheet'!$CQ$7:$CQ$9</definedName>
    <definedName name="______cps3" localSheetId="5">'[1]Working Sheet'!$CQ$7:$CQ$9</definedName>
    <definedName name="______cps3">'[3]Working Sheet'!$CQ$7:$CQ$9</definedName>
    <definedName name="_____cps2" localSheetId="6">'[1]Working Sheet'!$CQ$7:$CQ$9</definedName>
    <definedName name="_____cps2" localSheetId="11">'[1]Working Sheet'!$CQ$7:$CQ$9</definedName>
    <definedName name="_____cps2" localSheetId="0">'[2]Working Sheet'!$CQ$7:$CQ$9</definedName>
    <definedName name="_____cps2" localSheetId="10">'[1]Working Sheet'!$CQ$7:$CQ$9</definedName>
    <definedName name="_____cps2" localSheetId="9">'[1]Working Sheet'!$CQ$7:$CQ$9</definedName>
    <definedName name="_____cps2" localSheetId="8">'[1]Working Sheet'!$CQ$7:$CQ$9</definedName>
    <definedName name="_____cps2" localSheetId="7">'[1]Working Sheet'!$CQ$7:$CQ$9</definedName>
    <definedName name="_____cps2" localSheetId="5">'[1]Working Sheet'!$CQ$7:$CQ$9</definedName>
    <definedName name="_____cps2">'[3]Working Sheet'!$CQ$7:$CQ$9</definedName>
    <definedName name="_____cps3" localSheetId="6">'[1]Working Sheet'!$CQ$7:$CQ$9</definedName>
    <definedName name="_____cps3" localSheetId="11">'[1]Working Sheet'!$CQ$7:$CQ$9</definedName>
    <definedName name="_____cps3" localSheetId="0">'[2]Working Sheet'!$CQ$7:$CQ$9</definedName>
    <definedName name="_____cps3" localSheetId="10">'[1]Working Sheet'!$CQ$7:$CQ$9</definedName>
    <definedName name="_____cps3" localSheetId="9">'[1]Working Sheet'!$CQ$7:$CQ$9</definedName>
    <definedName name="_____cps3" localSheetId="8">'[1]Working Sheet'!$CQ$7:$CQ$9</definedName>
    <definedName name="_____cps3" localSheetId="7">'[1]Working Sheet'!$CQ$7:$CQ$9</definedName>
    <definedName name="_____cps3" localSheetId="5">'[1]Working Sheet'!$CQ$7:$CQ$9</definedName>
    <definedName name="_____cps3">'[3]Working Sheet'!$CQ$7:$CQ$9</definedName>
    <definedName name="____cps2" localSheetId="6">'[1]Working Sheet'!$CQ$7:$CQ$9</definedName>
    <definedName name="____cps2" localSheetId="11">'[1]Working Sheet'!$CQ$7:$CQ$9</definedName>
    <definedName name="____cps2" localSheetId="0">'[2]Working Sheet'!$CQ$7:$CQ$9</definedName>
    <definedName name="____cps2" localSheetId="10">'[1]Working Sheet'!$CQ$7:$CQ$9</definedName>
    <definedName name="____cps2" localSheetId="9">'[1]Working Sheet'!$CQ$7:$CQ$9</definedName>
    <definedName name="____cps2" localSheetId="8">'[1]Working Sheet'!$CQ$7:$CQ$9</definedName>
    <definedName name="____cps2" localSheetId="7">'[1]Working Sheet'!$CQ$7:$CQ$9</definedName>
    <definedName name="____cps2" localSheetId="5">'[1]Working Sheet'!$CQ$7:$CQ$9</definedName>
    <definedName name="____cps2">'[3]Working Sheet'!$CQ$7:$CQ$9</definedName>
    <definedName name="____cps3" localSheetId="6">'[1]Working Sheet'!$CQ$7:$CQ$9</definedName>
    <definedName name="____cps3" localSheetId="11">'[1]Working Sheet'!$CQ$7:$CQ$9</definedName>
    <definedName name="____cps3" localSheetId="0">'[2]Working Sheet'!$CQ$7:$CQ$9</definedName>
    <definedName name="____cps3" localSheetId="10">'[1]Working Sheet'!$CQ$7:$CQ$9</definedName>
    <definedName name="____cps3" localSheetId="9">'[1]Working Sheet'!$CQ$7:$CQ$9</definedName>
    <definedName name="____cps3" localSheetId="8">'[1]Working Sheet'!$CQ$7:$CQ$9</definedName>
    <definedName name="____cps3" localSheetId="7">'[1]Working Sheet'!$CQ$7:$CQ$9</definedName>
    <definedName name="____cps3" localSheetId="5">'[1]Working Sheet'!$CQ$7:$CQ$9</definedName>
    <definedName name="____cps3">'[3]Working Sheet'!$CQ$7:$CQ$9</definedName>
    <definedName name="___cps2" localSheetId="6">'[1]Working Sheet'!$CQ$7:$CQ$9</definedName>
    <definedName name="___cps2" localSheetId="11">'[1]Working Sheet'!$CQ$7:$CQ$9</definedName>
    <definedName name="___cps2" localSheetId="0">'[2]Working Sheet'!$CQ$7:$CQ$9</definedName>
    <definedName name="___cps2" localSheetId="10">'[1]Working Sheet'!$CQ$7:$CQ$9</definedName>
    <definedName name="___cps2" localSheetId="9">'[1]Working Sheet'!$CQ$7:$CQ$9</definedName>
    <definedName name="___cps2" localSheetId="8">'[1]Working Sheet'!$CQ$7:$CQ$9</definedName>
    <definedName name="___cps2" localSheetId="7">'[1]Working Sheet'!$CQ$7:$CQ$9</definedName>
    <definedName name="___cps2" localSheetId="5">'[1]Working Sheet'!$CQ$7:$CQ$9</definedName>
    <definedName name="___cps2">'[3]Working Sheet'!$CQ$7:$CQ$9</definedName>
    <definedName name="___cps3" localSheetId="6">'[1]Working Sheet'!$CQ$7:$CQ$9</definedName>
    <definedName name="___cps3" localSheetId="11">'[1]Working Sheet'!$CQ$7:$CQ$9</definedName>
    <definedName name="___cps3" localSheetId="0">'[2]Working Sheet'!$CQ$7:$CQ$9</definedName>
    <definedName name="___cps3" localSheetId="10">'[1]Working Sheet'!$CQ$7:$CQ$9</definedName>
    <definedName name="___cps3" localSheetId="9">'[1]Working Sheet'!$CQ$7:$CQ$9</definedName>
    <definedName name="___cps3" localSheetId="8">'[1]Working Sheet'!$CQ$7:$CQ$9</definedName>
    <definedName name="___cps3" localSheetId="7">'[1]Working Sheet'!$CQ$7:$CQ$9</definedName>
    <definedName name="___cps3" localSheetId="5">'[1]Working Sheet'!$CQ$7:$CQ$9</definedName>
    <definedName name="___cps3">'[3]Working Sheet'!$CQ$7:$CQ$9</definedName>
    <definedName name="__cps2" localSheetId="6">'[1]Working Sheet'!$CQ$7:$CQ$9</definedName>
    <definedName name="__cps2" localSheetId="11">'[1]Working Sheet'!$CQ$7:$CQ$9</definedName>
    <definedName name="__cps2" localSheetId="0">'[2]Working Sheet'!$CQ$7:$CQ$9</definedName>
    <definedName name="__cps2" localSheetId="10">'[1]Working Sheet'!$CQ$7:$CQ$9</definedName>
    <definedName name="__cps2" localSheetId="9">'[1]Working Sheet'!$CQ$7:$CQ$9</definedName>
    <definedName name="__cps2" localSheetId="8">'[1]Working Sheet'!$CQ$7:$CQ$9</definedName>
    <definedName name="__cps2" localSheetId="7">'[1]Working Sheet'!$CQ$7:$CQ$9</definedName>
    <definedName name="__cps2" localSheetId="5">'[1]Working Sheet'!$CQ$7:$CQ$9</definedName>
    <definedName name="__cps2">'[3]Working Sheet'!$CQ$7:$CQ$9</definedName>
    <definedName name="__cps3" localSheetId="6">'[1]Working Sheet'!$CQ$7:$CQ$9</definedName>
    <definedName name="__cps3" localSheetId="11">'[1]Working Sheet'!$CQ$7:$CQ$9</definedName>
    <definedName name="__cps3" localSheetId="0">'[2]Working Sheet'!$CQ$7:$CQ$9</definedName>
    <definedName name="__cps3" localSheetId="10">'[1]Working Sheet'!$CQ$7:$CQ$9</definedName>
    <definedName name="__cps3" localSheetId="9">'[1]Working Sheet'!$CQ$7:$CQ$9</definedName>
    <definedName name="__cps3" localSheetId="8">'[1]Working Sheet'!$CQ$7:$CQ$9</definedName>
    <definedName name="__cps3" localSheetId="7">'[1]Working Sheet'!$CQ$7:$CQ$9</definedName>
    <definedName name="__cps3" localSheetId="5">'[1]Working Sheet'!$CQ$7:$CQ$9</definedName>
    <definedName name="__cps3">'[3]Working Sheet'!$CQ$7:$CQ$9</definedName>
    <definedName name="_cps1" localSheetId="6">'[4]Working Sheet'!$CQ$7:$CQ$9</definedName>
    <definedName name="_cps1" localSheetId="11">'[4]Working Sheet'!$CQ$7:$CQ$9</definedName>
    <definedName name="_cps1" localSheetId="0">'[5]Working Sheet'!$CQ$7:$CQ$9</definedName>
    <definedName name="_cps1" localSheetId="10">'[4]Working Sheet'!$CQ$7:$CQ$9</definedName>
    <definedName name="_cps1" localSheetId="9">'[4]Working Sheet'!$CQ$7:$CQ$9</definedName>
    <definedName name="_cps1" localSheetId="8">'[4]Working Sheet'!$CQ$7:$CQ$9</definedName>
    <definedName name="_cps1" localSheetId="7">'[4]Working Sheet'!$CQ$7:$CQ$9</definedName>
    <definedName name="_cps1" localSheetId="5">'[4]Working Sheet'!$CQ$7:$CQ$9</definedName>
    <definedName name="_cps1">'[6]Working Sheet'!$CQ$7:$CQ$9</definedName>
    <definedName name="_cps2" localSheetId="6">'[1]Working Sheet'!$CQ$7:$CQ$9</definedName>
    <definedName name="_cps2" localSheetId="11">'[1]Working Sheet'!$CQ$7:$CQ$9</definedName>
    <definedName name="_cps2" localSheetId="0">'[2]Working Sheet'!$CQ$7:$CQ$9</definedName>
    <definedName name="_cps2" localSheetId="10">'[1]Working Sheet'!$CQ$7:$CQ$9</definedName>
    <definedName name="_cps2" localSheetId="9">'[1]Working Sheet'!$CQ$7:$CQ$9</definedName>
    <definedName name="_cps2" localSheetId="8">'[1]Working Sheet'!$CQ$7:$CQ$9</definedName>
    <definedName name="_cps2" localSheetId="7">'[1]Working Sheet'!$CQ$7:$CQ$9</definedName>
    <definedName name="_cps2" localSheetId="5">'[1]Working Sheet'!$CQ$7:$CQ$9</definedName>
    <definedName name="_cps2">'[3]Working Sheet'!$CQ$7:$CQ$9</definedName>
    <definedName name="_cps3" localSheetId="6">'[1]Working Sheet'!$CQ$7:$CQ$9</definedName>
    <definedName name="_cps3" localSheetId="11">'[1]Working Sheet'!$CQ$7:$CQ$9</definedName>
    <definedName name="_cps3" localSheetId="0">'[2]Working Sheet'!$CQ$7:$CQ$9</definedName>
    <definedName name="_cps3" localSheetId="10">'[1]Working Sheet'!$CQ$7:$CQ$9</definedName>
    <definedName name="_cps3" localSheetId="9">'[1]Working Sheet'!$CQ$7:$CQ$9</definedName>
    <definedName name="_cps3" localSheetId="8">'[1]Working Sheet'!$CQ$7:$CQ$9</definedName>
    <definedName name="_cps3" localSheetId="7">'[1]Working Sheet'!$CQ$7:$CQ$9</definedName>
    <definedName name="_cps3" localSheetId="5">'[1]Working Sheet'!$CQ$7:$CQ$9</definedName>
    <definedName name="_cps3">'[3]Working Sheet'!$CQ$7:$CQ$9</definedName>
    <definedName name="_xlnm._FilterDatabase" localSheetId="2" hidden="1">'AWS Core Module list'!$B$1:$J$7</definedName>
    <definedName name="a">#REF!</definedName>
    <definedName name="abc" localSheetId="0">#REF!</definedName>
    <definedName name="abc">#REF!</definedName>
    <definedName name="b">[7]!CategoryAndEmployeeTable[[#Headers],[Category Name]]</definedName>
    <definedName name="CategoryList" localSheetId="0">#REF!</definedName>
    <definedName name="CategoryList">#REF!</definedName>
    <definedName name="cause">#REF!</definedName>
    <definedName name="cc">#REF!</definedName>
    <definedName name="CDBProfile" localSheetId="0">#REF!</definedName>
    <definedName name="CDBProfile">#REF!</definedName>
    <definedName name="ColumnTitle1" localSheetId="0">#REF!</definedName>
    <definedName name="ColumnTitle1">#REF!</definedName>
    <definedName name="ColumnTitle2" localSheetId="0">#REF!</definedName>
    <definedName name="ColumnTitle2">#REF!</definedName>
    <definedName name="Comments">#REF!</definedName>
    <definedName name="COMP">'[8]C&amp;B Matrix'!$H$2:$P$10262</definedName>
    <definedName name="csharp" localSheetId="6">'[9]Learning Assets'!$B$4:$B$48</definedName>
    <definedName name="csharp" localSheetId="11">'[9]Learning Assets'!$B$4:$B$48</definedName>
    <definedName name="csharp" localSheetId="0">'[10]Learning Assets'!$B$4:$B$48</definedName>
    <definedName name="csharp" localSheetId="10">'[9]Learning Assets'!$B$4:$B$48</definedName>
    <definedName name="csharp" localSheetId="9">'[9]Learning Assets'!$B$4:$B$48</definedName>
    <definedName name="csharp" localSheetId="8">'[9]Learning Assets'!$B$4:$B$48</definedName>
    <definedName name="csharp" localSheetId="7">'[9]Learning Assets'!$B$4:$B$48</definedName>
    <definedName name="csharp" localSheetId="5">'[9]Learning Assets'!$B$4:$B$48</definedName>
    <definedName name="csharp">'[11]Learning Assets'!$B$4:$B$48</definedName>
    <definedName name="CSharp1">'[12]Learning Assets'!$B$4:$B$48</definedName>
    <definedName name="d" localSheetId="0">#REF!</definedName>
    <definedName name="d">#REF!</definedName>
    <definedName name="DayRails" localSheetId="0">StartDateWindow+ROW(#REF!)-1</definedName>
    <definedName name="DayRails" localSheetId="9">StartDateWindow+ROW(#REF!)-1</definedName>
    <definedName name="DayRails">StartDateWindow+ROW(#REF!)-1</definedName>
    <definedName name="df" localSheetId="0">#REF!</definedName>
    <definedName name="df">#REF!</definedName>
    <definedName name="dffdafda">'[13]Learning Assets'!$B$4:$B$48</definedName>
    <definedName name="EmployeeList" localSheetId="0">#REF!</definedName>
    <definedName name="EmployeeList">#REF!</definedName>
    <definedName name="EndurncTest_8hrs">#REF!</definedName>
    <definedName name="EV__LASTREFTIME__" hidden="1">41669.3554282407</definedName>
    <definedName name="FlagPercent">#REF!</definedName>
    <definedName name="GrandTotal">'[14]Server HW Details'!#REF!</definedName>
    <definedName name="GridCalc" localSheetId="0">IFERROR([15]calcs!$A1/SUMPRODUCT( (#REF!=[15]calcs!$C1)*(#REF!&lt;=[15]calcs!A$31)*((#REF!&gt;=[15]calcs!A$31)+(LEN(#REF!)=0)*(#REF!=[15]calcs!A$31)) ),NA())</definedName>
    <definedName name="GridCalc">IFERROR([15]calcs!$A1/SUMPRODUCT( (#REF!=[15]calcs!$C1)*(#REF!&lt;=[15]calcs!A$31)*((#REF!&gt;=[15]calcs!A$31)+(LEN(#REF!)=0)*(#REF!=[15]calcs!A$31)) ),NA())</definedName>
    <definedName name="grtyrt">'[16]Learning Assets'!$B$4:$B$48</definedName>
    <definedName name="ImpFactor">'[17]Dotnet&amp;CC Skills'!$E$121:$E$123</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st_TestLog">"'Test log'"</definedName>
    <definedName name="MILESTONES">'[7]TRACKER SETUP'!$B$5:$B$10</definedName>
    <definedName name="ModuleName">'[18]Learning Assets'!$B$4:$B$48</definedName>
    <definedName name="Nominations" localSheetId="0">#REF!</definedName>
    <definedName name="Nominations">#REF!</definedName>
    <definedName name="PL" localSheetId="0">#REF!</definedName>
    <definedName name="PL">#REF!</definedName>
    <definedName name="ProfLevel">'[17]Proficiency Level Desc'!$A$2:$A$6</definedName>
    <definedName name="ProjectEnd" localSheetId="0">#REF!</definedName>
    <definedName name="ProjectEnd">#REF!</definedName>
    <definedName name="ProjectStart" localSheetId="0">#REF!</definedName>
    <definedName name="ProjectStart">#REF!</definedName>
    <definedName name="Severity">#REF!</definedName>
    <definedName name="Skill" localSheetId="6">[19]Skill!$N$7:$N$9</definedName>
    <definedName name="Skill" localSheetId="11">[19]Skill!$N$7:$N$9</definedName>
    <definedName name="Skill" localSheetId="0">[20]Skill!$N$7:$N$9</definedName>
    <definedName name="Skill" localSheetId="10">[19]Skill!$N$7:$N$9</definedName>
    <definedName name="Skill" localSheetId="9">[19]Skill!$N$7:$N$9</definedName>
    <definedName name="Skill" localSheetId="8">[19]Skill!$N$7:$N$9</definedName>
    <definedName name="Skill" localSheetId="7">[19]Skill!$N$7:$N$9</definedName>
    <definedName name="Skill" localSheetId="5">[19]Skill!$N$7:$N$9</definedName>
    <definedName name="Skill">[21]Skill!$N$7:$N$9</definedName>
    <definedName name="SkillCategory" localSheetId="6">'[22]Read Me'!$N$1:$N$4</definedName>
    <definedName name="SkillCategory" localSheetId="11">'[22]Read Me'!$N$1:$N$4</definedName>
    <definedName name="SkillCategory" localSheetId="0">'[23]Read Me'!$N$1:$N$4</definedName>
    <definedName name="SkillCategory" localSheetId="10">'[22]Read Me'!$N$1:$N$4</definedName>
    <definedName name="SkillCategory" localSheetId="9">'[22]Read Me'!$N$1:$N$4</definedName>
    <definedName name="SkillCategory" localSheetId="8">'[22]Read Me'!$N$1:$N$4</definedName>
    <definedName name="SkillCategory" localSheetId="7">'[22]Read Me'!$N$1:$N$4</definedName>
    <definedName name="SkillCategory" localSheetId="5">'[22]Read Me'!$N$1:$N$4</definedName>
    <definedName name="SkillCategory">'[24]Read Me'!$N$1:$N$4</definedName>
    <definedName name="StartDate">[15]calcs!$D$28</definedName>
    <definedName name="StartDateWindow">[15]calcs!$D$25</definedName>
    <definedName name="State_of_Origin">#REF!</definedName>
    <definedName name="Status">'[25]Reference Values'!$A$4:$A$7</definedName>
    <definedName name="tttt">'[26]Learning Assets'!$B$4:$B$48</definedName>
    <definedName name="WinCal7" localSheetId="0">#REF!</definedName>
    <definedName name="WinCal7">#REF!</definedName>
    <definedName name="WinCal8" localSheetId="0">#REF!</definedName>
    <definedName name="WinCal8">#REF!</definedName>
    <definedName name="WinCal9" localSheetId="0">#REF!</definedName>
    <definedName name="WinCal9">#REF!</definedName>
    <definedName name="WinCalendar_Calendar_7" localSheetId="0">#REF!</definedName>
    <definedName name="WinCalendar_Calendar_7">#REF!</definedName>
    <definedName name="WinCalendar_Calendar_8" localSheetId="0">#REF!</definedName>
    <definedName name="WinCalendar_Calendar_8">#REF!</definedName>
    <definedName name="WinCalendar_Calendar_9" localSheetId="0">#REF!</definedName>
    <definedName name="WinCalendar_Calendar_9">#REF!</definedName>
    <definedName name="WindowDays">[15]calcs!$D$29</definedName>
    <definedName name="WindowOffset">[15]calcs!$D$26</definedName>
    <definedName name="ww">'[14]Server HW Details'!#REF!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3" l="1"/>
  <c r="D25" i="3" s="1"/>
  <c r="D26" i="3" s="1"/>
  <c r="D20" i="16"/>
  <c r="E2" i="3"/>
  <c r="G2" i="3" s="1"/>
  <c r="F2" i="3" l="1"/>
</calcChain>
</file>

<file path=xl/sharedStrings.xml><?xml version="1.0" encoding="utf-8"?>
<sst xmlns="http://schemas.openxmlformats.org/spreadsheetml/2006/main" count="646" uniqueCount="433">
  <si>
    <t>Sno</t>
  </si>
  <si>
    <t>Learning Outcome</t>
  </si>
  <si>
    <t>Performance Outcome</t>
  </si>
  <si>
    <t>Level (Awareness, Skill and Knowledge)</t>
  </si>
  <si>
    <t xml:space="preserve">Sub
Track </t>
  </si>
  <si>
    <t>Associate should have ability to understand the principles of 
AWS Basics and its Fundamentals.</t>
  </si>
  <si>
    <r>
      <t xml:space="preserve">He / She should be able to </t>
    </r>
    <r>
      <rPr>
        <i/>
        <sz val="10"/>
        <color theme="1"/>
        <rFont val="Calibri"/>
        <family val="2"/>
      </rPr>
      <t xml:space="preserve">describe </t>
    </r>
    <r>
      <rPr>
        <sz val="10"/>
        <color theme="1"/>
        <rFont val="Calibri"/>
        <family val="2"/>
      </rPr>
      <t>and</t>
    </r>
    <r>
      <rPr>
        <i/>
        <sz val="10"/>
        <color theme="1"/>
        <rFont val="Calibri"/>
        <family val="2"/>
      </rPr>
      <t xml:space="preserve"> </t>
    </r>
    <r>
      <rPr>
        <sz val="10"/>
        <color theme="1"/>
        <rFont val="Calibri"/>
        <family val="2"/>
      </rPr>
      <t>provide examples of core AWS services, such as compute, network, databases, and storage.</t>
    </r>
  </si>
  <si>
    <t>Skill</t>
  </si>
  <si>
    <t>AWS Basics - Fundamentals</t>
  </si>
  <si>
    <r>
      <t xml:space="preserve">He / She should be able to </t>
    </r>
    <r>
      <rPr>
        <i/>
        <sz val="10"/>
        <color theme="1"/>
        <rFont val="Calibri"/>
        <family val="2"/>
      </rPr>
      <t>illustrate</t>
    </r>
    <r>
      <rPr>
        <sz val="10"/>
        <color theme="1"/>
        <rFont val="Calibri"/>
        <family val="2"/>
      </rPr>
      <t xml:space="preserve"> practical experience launching virtual servers (Amazon EC2 instances) on the AWS Cloud.</t>
    </r>
  </si>
  <si>
    <r>
      <t xml:space="preserve">He / She should be able to </t>
    </r>
    <r>
      <rPr>
        <i/>
        <sz val="10"/>
        <color theme="1"/>
        <rFont val="Calibri"/>
        <family val="2"/>
      </rPr>
      <t xml:space="preserve">implement </t>
    </r>
    <r>
      <rPr>
        <sz val="10"/>
        <color theme="1"/>
        <rFont val="Calibri"/>
        <family val="2"/>
      </rPr>
      <t>and</t>
    </r>
    <r>
      <rPr>
        <i/>
        <sz val="10"/>
        <color theme="1"/>
        <rFont val="Calibri"/>
        <family val="2"/>
      </rPr>
      <t xml:space="preserve"> </t>
    </r>
    <r>
      <rPr>
        <sz val="10"/>
        <color theme="1"/>
        <rFont val="Calibri"/>
        <family val="2"/>
      </rPr>
      <t>configure elasticity, high availability, and fault tolerance using Amazon EC2 Auto Scaling and Amazon Elastic Load Balancing.</t>
    </r>
  </si>
  <si>
    <r>
      <t xml:space="preserve">He / She should be able to </t>
    </r>
    <r>
      <rPr>
        <i/>
        <sz val="10"/>
        <color theme="1"/>
        <rFont val="Calibri"/>
        <family val="2"/>
      </rPr>
      <t>apply</t>
    </r>
    <r>
      <rPr>
        <sz val="10"/>
        <color theme="1"/>
        <rFont val="Calibri"/>
        <family val="2"/>
      </rPr>
      <t xml:space="preserve"> fundamental concepts of cloud computing, including storage, database, networking, virtualization, containers, and cloud architecture.</t>
    </r>
  </si>
  <si>
    <t>Associate should have ability to perform  AWS Dev Ops &amp; Cloud - Basics</t>
  </si>
  <si>
    <r>
      <t xml:space="preserve">He / She should be able to </t>
    </r>
    <r>
      <rPr>
        <i/>
        <sz val="10"/>
        <color theme="1"/>
        <rFont val="Calibri"/>
        <family val="2"/>
      </rPr>
      <t xml:space="preserve">describe </t>
    </r>
    <r>
      <rPr>
        <sz val="10"/>
        <color theme="1"/>
        <rFont val="Calibri"/>
        <family val="2"/>
      </rPr>
      <t>essential aspects of SQL Server administration and Understand best practices for installing SQL Server in a production environment, review storage requirements, and grasp the importance of backups and restores.</t>
    </r>
  </si>
  <si>
    <t>AWS Basics - Elasticity &amp; Management Tools</t>
  </si>
  <si>
    <r>
      <t xml:space="preserve">He / She should be able to </t>
    </r>
    <r>
      <rPr>
        <i/>
        <sz val="10"/>
        <color theme="1"/>
        <rFont val="Calibri"/>
        <family val="2"/>
      </rPr>
      <t>describe</t>
    </r>
    <r>
      <rPr>
        <sz val="10"/>
        <color theme="1"/>
        <rFont val="Calibri"/>
        <family val="2"/>
      </rPr>
      <t xml:space="preserve"> concepts like Amazon VPC (Virtual Private Cloud), Amazon Route 53, and Direct Connect.</t>
    </r>
  </si>
  <si>
    <r>
      <t xml:space="preserve">He / She should be able to </t>
    </r>
    <r>
      <rPr>
        <i/>
        <sz val="10"/>
        <color theme="1"/>
        <rFont val="Calibri"/>
        <family val="2"/>
      </rPr>
      <t>implement</t>
    </r>
    <r>
      <rPr>
        <sz val="10"/>
        <color theme="1"/>
        <rFont val="Calibri"/>
        <family val="2"/>
      </rPr>
      <t xml:space="preserve"> setting up network connectivity, load balancing, and managing network resources.</t>
    </r>
  </si>
  <si>
    <r>
      <t xml:space="preserve">He / She should be able to </t>
    </r>
    <r>
      <rPr>
        <i/>
        <sz val="10"/>
        <color theme="1"/>
        <rFont val="Calibri"/>
        <family val="2"/>
      </rPr>
      <t xml:space="preserve">illustrate </t>
    </r>
    <r>
      <rPr>
        <sz val="10"/>
        <color theme="1"/>
        <rFont val="Calibri"/>
        <family val="2"/>
      </rPr>
      <t>understanding Amazon Virtual Private Cloud (VPC) peering, VPN connections, and hybrid cloud scenarios.</t>
    </r>
  </si>
  <si>
    <r>
      <t xml:space="preserve">He / She should be able to </t>
    </r>
    <r>
      <rPr>
        <i/>
        <sz val="10"/>
        <color theme="1"/>
        <rFont val="Calibri"/>
        <family val="2"/>
      </rPr>
      <t>apply</t>
    </r>
    <r>
      <rPr>
        <sz val="10"/>
        <color theme="1"/>
        <rFont val="Calibri"/>
        <family val="2"/>
      </rPr>
      <t xml:space="preserve"> configuring network components, security groups, and routing tables.</t>
    </r>
  </si>
  <si>
    <r>
      <t xml:space="preserve">He / She should be able to </t>
    </r>
    <r>
      <rPr>
        <i/>
        <sz val="10"/>
        <color theme="1"/>
        <rFont val="Calibri"/>
        <family val="2"/>
      </rPr>
      <t>illustrate</t>
    </r>
    <r>
      <rPr>
        <sz val="10"/>
        <color theme="1"/>
        <rFont val="Calibri"/>
        <family val="2"/>
      </rPr>
      <t xml:space="preserve"> the layers of the HTML page using Javascript for Selenium automation</t>
    </r>
  </si>
  <si>
    <t>Associate would be able to  compliant with aws architectural framework and Reduce cloud waste</t>
  </si>
  <si>
    <t>He / She should be able to apply and be compliant with the AWS Architechural framework and reduce cloud waste</t>
  </si>
  <si>
    <t>AWS Cost Optimization and DNS management</t>
  </si>
  <si>
    <t xml:space="preserve">Associate should have ability to perform basic EC2 Instances.
</t>
  </si>
  <si>
    <r>
      <t xml:space="preserve">He / She should be able to </t>
    </r>
    <r>
      <rPr>
        <i/>
        <sz val="10"/>
        <color theme="1"/>
        <rFont val="Calibri"/>
        <family val="2"/>
      </rPr>
      <t>describe</t>
    </r>
    <r>
      <rPr>
        <sz val="10"/>
        <color theme="1"/>
        <rFont val="Calibri"/>
        <family val="2"/>
      </rPr>
      <t xml:space="preserve"> EC2 instances function within the AWS environment and how to optimize.</t>
    </r>
  </si>
  <si>
    <t>AWS Advanced - Identity and Access Management and Database Services</t>
  </si>
  <si>
    <r>
      <t xml:space="preserve">He / She should be able to </t>
    </r>
    <r>
      <rPr>
        <i/>
        <sz val="10"/>
        <color theme="1"/>
        <rFont val="Calibri"/>
        <family val="2"/>
      </rPr>
      <t xml:space="preserve">illustrate </t>
    </r>
    <r>
      <rPr>
        <sz val="10"/>
        <color theme="1"/>
        <rFont val="Calibri"/>
        <family val="2"/>
      </rPr>
      <t>by working with EC2 instances, integrating them with services like Amazon S3, Amazon RDS, Amazon CloudWatch, and AWS CloudTrail.</t>
    </r>
  </si>
  <si>
    <r>
      <t xml:space="preserve">He / She should be able to </t>
    </r>
    <r>
      <rPr>
        <i/>
        <sz val="10"/>
        <color theme="1"/>
        <rFont val="Calibri"/>
        <family val="2"/>
      </rPr>
      <t xml:space="preserve">implement  </t>
    </r>
    <r>
      <rPr>
        <sz val="10"/>
        <color theme="1"/>
        <rFont val="Calibri"/>
        <family val="2"/>
      </rPr>
      <t>highly available, fault-tolerant, and scalable solutions using EC2.</t>
    </r>
  </si>
  <si>
    <r>
      <t xml:space="preserve">He / She should be able to </t>
    </r>
    <r>
      <rPr>
        <i/>
        <sz val="10"/>
        <color theme="1"/>
        <rFont val="Calibri"/>
        <family val="2"/>
      </rPr>
      <t xml:space="preserve">apply and </t>
    </r>
    <r>
      <rPr>
        <sz val="10"/>
        <color theme="1"/>
        <rFont val="Calibri"/>
        <family val="2"/>
      </rPr>
      <t xml:space="preserve"> configure and manage EC2 instances effectively.</t>
    </r>
  </si>
  <si>
    <t>Associate shoud have ability to solve business problems and  demonstrations, illustrate IAM concepts in practical scenarios</t>
  </si>
  <si>
    <r>
      <t xml:space="preserve">He / She should be able to </t>
    </r>
    <r>
      <rPr>
        <i/>
        <sz val="10"/>
        <color rgb="FF000000"/>
        <rFont val="Calibri"/>
        <family val="2"/>
        <scheme val="minor"/>
      </rPr>
      <t>describe</t>
    </r>
    <r>
      <rPr>
        <sz val="10"/>
        <color rgb="FF000000"/>
        <rFont val="Calibri"/>
        <family val="2"/>
        <scheme val="minor"/>
      </rPr>
      <t xml:space="preserve"> Explore IAM use cases and learn when to apply IAM solutions. Describe how IAM components fit together and explain best practices for managing identities and access.</t>
    </r>
  </si>
  <si>
    <t>AWS Advanced - Other AWS PaaS Services</t>
  </si>
  <si>
    <r>
      <t xml:space="preserve">He / She should be able to </t>
    </r>
    <r>
      <rPr>
        <i/>
        <sz val="10"/>
        <color rgb="FF000000"/>
        <rFont val="Calibri"/>
        <family val="2"/>
        <scheme val="minor"/>
      </rPr>
      <t>implement</t>
    </r>
    <r>
      <rPr>
        <sz val="10"/>
        <color rgb="FF000000"/>
        <rFont val="Calibri"/>
        <family val="2"/>
        <scheme val="minor"/>
      </rPr>
      <t xml:space="preserve"> Build solutions using IAM features. Implement federated access, resource policies, and other advanced IAM configurations. Optimize performance and cost management for IAM.</t>
    </r>
  </si>
  <si>
    <r>
      <t xml:space="preserve">He / She should be able to </t>
    </r>
    <r>
      <rPr>
        <i/>
        <sz val="10"/>
        <color rgb="FF000000"/>
        <rFont val="Calibri"/>
        <family val="2"/>
        <scheme val="minor"/>
      </rPr>
      <t>Illustrate</t>
    </r>
    <r>
      <rPr>
        <sz val="10"/>
        <color rgb="FF000000"/>
        <rFont val="Calibri"/>
        <family val="2"/>
        <scheme val="minor"/>
      </rPr>
      <t xml:space="preserve"> AWS Organization IAM best practices and design patterns for solving real-world problems.</t>
    </r>
  </si>
  <si>
    <r>
      <t xml:space="preserve">He / She should be able to </t>
    </r>
    <r>
      <rPr>
        <i/>
        <sz val="10"/>
        <color rgb="FF000000"/>
        <rFont val="Calibri"/>
        <family val="2"/>
        <scheme val="minor"/>
      </rPr>
      <t>apply</t>
    </r>
    <r>
      <rPr>
        <sz val="10"/>
        <color rgb="FF000000"/>
        <rFont val="Calibri"/>
        <family val="2"/>
        <scheme val="minor"/>
      </rPr>
      <t xml:space="preserve"> the fundamentals of AWS IAM, including IAM users, groups, policies, and roles. Apply IAM concepts to real-world scenarios, such as tag-based policies and cross-account roles.</t>
    </r>
  </si>
  <si>
    <t>Enables efficient version control and collaboration, ensuring smooth code integration and rollback in production.</t>
  </si>
  <si>
    <t>He/She should be able to apply the fundamentals of GIT, Basic GIT commands</t>
  </si>
  <si>
    <t>Git &amp; Version Control</t>
  </si>
  <si>
    <t>Learners will automate deployments and configurations, reducing downtime and human errors in production.</t>
  </si>
  <si>
    <t>He/She should be able to apply the fundamentals of Ansible and will automate deployments and configurations reducing the downtime and errors.</t>
  </si>
  <si>
    <t>Ansible for automation</t>
  </si>
  <si>
    <t>Learners will be able to package applications for consistent behavior across environments to simplify deployments</t>
  </si>
  <si>
    <t>He /she will be able to apply the fundamentals of Docker and be able to package applications across environments</t>
  </si>
  <si>
    <t>Docker Essentials</t>
  </si>
  <si>
    <t>Learners will efficiently deploy, scale and maintain resilient applications in real-world production environments.</t>
  </si>
  <si>
    <t>He /she will be able to apply the fundamentals of kubernetes and to efficiently deploy, scale and maintain applications in real production environment</t>
  </si>
  <si>
    <t>Kubernetes Overview</t>
  </si>
  <si>
    <t>Learners will automate tasks and develop scripts to optimize production workflows.</t>
  </si>
  <si>
    <t>He /she will be able to automate the tasks and develop scripts using Python and terraform</t>
  </si>
  <si>
    <t>Automation</t>
  </si>
  <si>
    <t xml:space="preserve">AWS Core - Basics and Advanced </t>
  </si>
  <si>
    <t>1. Name of the track</t>
  </si>
  <si>
    <t xml:space="preserve">2. Category (Technical/Domain/Behavioral): </t>
  </si>
  <si>
    <t>Technical and Behavioral</t>
  </si>
  <si>
    <t xml:space="preserve">3.  Outcome Expected </t>
  </si>
  <si>
    <t>Delivery Readiness trainees</t>
  </si>
  <si>
    <t>4.  Measureable units of the outcome</t>
  </si>
  <si>
    <t>Trainees(as DevOps engineer) should be able to work on processes, tools, and methodologies to balance needs throughout the software development life cycle and automnate the process of coding, deployment, maintenance and updates. Responsible for the smooth operation of a company's IT infrastructure. They work with developers to deploy and manage code changes, and with operations staff to ensure that systems are up and running smoothly.</t>
  </si>
  <si>
    <t xml:space="preserve">5. Who are the target audience? </t>
  </si>
  <si>
    <t>PT\PAT</t>
  </si>
  <si>
    <t>6. What is the Gating Criteria?</t>
  </si>
  <si>
    <t>A GREEN as PHS in the Final Evaluation</t>
  </si>
  <si>
    <t>7.Duration</t>
  </si>
  <si>
    <t>12.6 weeks</t>
  </si>
  <si>
    <t xml:space="preserve">Stage </t>
  </si>
  <si>
    <t>Course  Segment</t>
  </si>
  <si>
    <t>Course/Module</t>
  </si>
  <si>
    <t>Duration in hrs</t>
  </si>
  <si>
    <t>Stage wise -Total Duration (Hrs)</t>
  </si>
  <si>
    <t>Stage wise -Total Duration (Wks)</t>
  </si>
  <si>
    <t>Stage wise -Total Duration (Days)</t>
  </si>
  <si>
    <t>Delivery Method</t>
  </si>
  <si>
    <t>Enablement Assured Level</t>
  </si>
  <si>
    <t>Assessment Assured Level</t>
  </si>
  <si>
    <t>Stage 1</t>
  </si>
  <si>
    <t xml:space="preserve">AWS Basics </t>
  </si>
  <si>
    <t>ILT/VILT</t>
  </si>
  <si>
    <t>AWS Basics</t>
  </si>
  <si>
    <t xml:space="preserve">Elasticity &amp; Management Tools </t>
  </si>
  <si>
    <t>Enablement</t>
  </si>
  <si>
    <t>BU Mentor Connect</t>
  </si>
  <si>
    <t>Knowledge</t>
  </si>
  <si>
    <t>Evaluation</t>
  </si>
  <si>
    <t>Stage 1 Assessment</t>
  </si>
  <si>
    <t>Assessment</t>
  </si>
  <si>
    <t>Stage 2</t>
  </si>
  <si>
    <t>AWS Cost Explorer
Budgets
Savings Plans
Billing and Cost Optimization Strategies
DNS &amp; Record Types (A, CNAME, MX, TXT, PTR)
Routing Policies</t>
  </si>
  <si>
    <t xml:space="preserve">AWS Advanced </t>
  </si>
  <si>
    <t>Identity and Access Management and Database Services</t>
  </si>
  <si>
    <t xml:space="preserve">Automation </t>
  </si>
  <si>
    <t xml:space="preserve">Automation Build tools                                                                                                Terraform 
Python   
</t>
  </si>
  <si>
    <t xml:space="preserve">Interim KBA (MCQ)Assessment </t>
  </si>
  <si>
    <t xml:space="preserve">Interim Technical Evaluation </t>
  </si>
  <si>
    <t>AWS Advanced</t>
  </si>
  <si>
    <t xml:space="preserve">
Git Basics ; Basic Git Commands (init, add, commit, status, log)
Git Branching &amp; Merging; Creating &amp; Merging Branches
</t>
  </si>
  <si>
    <t>Jenkins</t>
  </si>
  <si>
    <t>Intro &amp; Architecture,Installation,Dashboard Tour,Configuration ,First Job
Triggers: Manual, SCM polling, webhooks, cron scheduling,Pipelines, Integration &amp; Best Practices,Pipeline Types, Freestyle,Declarative,Scripted,Multibranch, Pipeline as Code,Simple Pipeline
,Tool Integration, Build Management</t>
  </si>
  <si>
    <t>Introduction to Docker
Containers vs Virtual Machines
Installing Docker on Windows/Linux/Mac
Docker Images &amp; Containers
Writing Dockerfiles
Building &amp; Managing Images
Running, Stopping, Restarting Containers
Pushing &amp; Pulling Images from Docker Hub &amp; AWS ECR
Scanning Images</t>
  </si>
  <si>
    <t xml:space="preserve">Kubernetes Basics &amp; Architecture
Kubernetes Components (Nodes, Pods, Deployments, Services)
Running a Simple Pod &amp; Service
Scaling &amp; Updating Applications
Exposing Applications
Persistent Volumes 
</t>
  </si>
  <si>
    <t xml:space="preserve">Git Hub copilot </t>
  </si>
  <si>
    <t>Self-Learning/ILT</t>
  </si>
  <si>
    <t>AI Agents</t>
  </si>
  <si>
    <t>NA</t>
  </si>
  <si>
    <t>Self-Learning</t>
  </si>
  <si>
    <t>AI Accelerate</t>
  </si>
  <si>
    <t>Fundamentals of Gen AI,Copilot,Responsible AI,Flowsource</t>
  </si>
  <si>
    <t>ITIL Concepts</t>
  </si>
  <si>
    <t xml:space="preserve">Final KBA (MCQ) Assessment </t>
  </si>
  <si>
    <t>Final Technical Evaluation</t>
  </si>
  <si>
    <t>Stage 1 &amp; 2</t>
  </si>
  <si>
    <t>Behavioral Training</t>
  </si>
  <si>
    <t>Total Duration in hours</t>
  </si>
  <si>
    <t>Total Duration in Days</t>
  </si>
  <si>
    <t xml:space="preserve">Total Duration in Weeks(5 Days a week) </t>
  </si>
  <si>
    <t xml:space="preserve">Module Table of Contents  </t>
  </si>
  <si>
    <t>Module Name: AWS Basics</t>
  </si>
  <si>
    <t>Practical Implementation with Technical Deep-Dive Labs</t>
  </si>
  <si>
    <t xml:space="preserve">Introduction to Cloud Computing
Different types of Cloud - Public / Private / Hybrid
Different Cloud as a Service (IaaS/PaaS/SaaS)
Introduction to AWS                                                                                                    
AWS Well-Architected Framework(5 pillars): Operational Excellence, Security, Reliability, Performance Efficiency, and Cost Optimization.
Amazon Virtual Private Cloud (VPC) concepts, including subnets, Route Tables, security, and networking
VPC Peering, Direct Connect Establishment
AWS VPN Setup
NAT Gateway and Endpoint Connection, TGW
Amazon EC2 Instances (On-Demand, Reserved and Spot)
Security groups, Elastic IP, Key Pair
Availability Zones and Regions
EBS Volume Types, AMI / EBS Snapshots, Linux Basics </t>
  </si>
  <si>
    <t>✅Lab 1: Launch Your First AWS Instance (Create EC2 instance, connect via SSH, attach EBS volume)                                                                                                          ✅ Lab 2: VPC &amp; Subnet Configuration (Create custom VPC, public/private subnets, route tables)
✅ Lab 3: VPC Peering &amp; TGW Setup (Enable communication between VPCs)</t>
  </si>
  <si>
    <t xml:space="preserve">AWS Basics - Elasticity &amp; Management Tools </t>
  </si>
  <si>
    <t>Auto Scaling concepts(Including launch configurations, Auto Scaling groups, and scaling lifecycle)
Elastic Load Balancing concepts(Including request routing and Load Balancer Types)
AWS Management Tools(Including Amazon CloudWatch Rules Events and Alarms)
AWS Storage - S3, Glacier (Including S3 Lifecycle Policy,  S3 Logging)</t>
  </si>
  <si>
    <t>✅ Lab 5: EC2 Auto Scaling &amp; Load Balancer (Create an Auto Scaling group with ALB)
✅ Lab 6: S3 Storage &amp; Lifecycle Policies (Enable versioning, lifecycle rules, and logging)</t>
  </si>
  <si>
    <t xml:space="preserve"> Self - Learnings </t>
  </si>
  <si>
    <t>Topic</t>
  </si>
  <si>
    <t>Udemy/Clearn Link</t>
  </si>
  <si>
    <t>Introduction to Cloud Computing on AWS for Beginners [2024]</t>
  </si>
  <si>
    <t>https://cognizant.udemy.com/course/introduction-to-cloud-computing-on-amazon-aws-for-beginners/learn/lecture/42522032#overview</t>
  </si>
  <si>
    <t>AWS Essentials - Hands-on Learning</t>
  </si>
  <si>
    <t>https://cognizant.udemy.com/course/aws-essentials-hands-on-learning/</t>
  </si>
  <si>
    <t>Basic AWS Architecture Best Practices - 1 Hour Crash Course</t>
  </si>
  <si>
    <t>https://cognizant.udemy.com/course/awsbestpractices/</t>
  </si>
  <si>
    <t>AWS Amazon S3 Mastery Bootcamp</t>
  </si>
  <si>
    <t>https://cognizant.udemy.com/course/aws-foundations-amazon-s3-mastery-bootcamp/</t>
  </si>
  <si>
    <t>AWS VPC and Networking in depth: Learn practically in 8 hrs</t>
  </si>
  <si>
    <t>https://cognizant.udemy.com/course/networking-in-aws/</t>
  </si>
  <si>
    <t>Bash Scripting and Shell Programming (Linux Command Line)</t>
  </si>
  <si>
    <t>https://cognizant.udemy.com/course/bash-scripting/</t>
  </si>
  <si>
    <t>Linux for Cloud &amp; DevOps Engineers</t>
  </si>
  <si>
    <t>https://cognizant.udemy.com/course/valaxy-linux/</t>
  </si>
  <si>
    <t>Docker for the Absolute Beginner - Hands On</t>
  </si>
  <si>
    <t>https://cognizant.udemy.com/course/learn-docker/</t>
  </si>
  <si>
    <t>Kubernetes for the Absolute Beginners</t>
  </si>
  <si>
    <t>https://cognizant.udemy.com/course/learn-kubernetes/</t>
  </si>
  <si>
    <t>Ansible for the Absolute Beginner</t>
  </si>
  <si>
    <t>https://cognizant.udemy.com/course/learn-ansible/</t>
  </si>
  <si>
    <t>Ultimate AWS FinOps Cloud Cost Management Masterclass!</t>
  </si>
  <si>
    <t>https://cognizant.udemy.com/course/ultimate-aws-finops-cloud-cost-management-masterclass/</t>
  </si>
  <si>
    <t>AWS Cost Explorer, Budgets, Billing Tags and Saving Plans
Billing and Cost Optimization Strategies                                                                                                                                    Route 53 - Scalable DNS &amp; Routing
DNS &amp; Record Types (A, CNAME, MX, TXT, PTR)
Routing Policies (Simple, Weighted, Latency, Failover, Geo, Multivalue)
Domain Management (Registration, Transfers, DNS Records)
Integration (EC2, S3, CloudFront, ELB, Global Accelerator)
Health Checks &amp; Failover (Active-Passive, Active-Active)
Private Hosted Zones &amp; Resolver (VPC DNS, Hybrid Resolution, Forwarding Rules)</t>
  </si>
  <si>
    <t>✅ Lab 8: AWS Cost Explorer &amp; Budgets (Set up cost monitoring &amp; budget alerts)
✅ Lab 9: Route 53 DNS Configuration (Create hosted zones, configure A/CNAME records)
✅ Lab 10: Route 53 Failover &amp; Health Checks (Set up active-passive failover with health checks)</t>
  </si>
  <si>
    <t xml:space="preserve">AWS Identity and Access Management (IAM) concepts (Including users, groups, roles and policies)
Multifactor Authentication (MFA), Certificate Manager, KMS
Amazon Relational Database Service (RDS) concepts (Including database instances, security groups, and parameter and option groups)
Amazon DynamoDB concepts (Including data model and supported operations)
</t>
  </si>
  <si>
    <t>✅ Lab 11: IAM User &amp; Role Management (Create users, groups, policies &amp; MFA)      ✅ Lab 13: Launch &amp; Secure RDS Database (Create RDS instance with security groups &amp; backups)</t>
  </si>
  <si>
    <t xml:space="preserve">Automation Build tools                                                                                                
Terraform 
Python   
</t>
  </si>
  <si>
    <t>SNS, SQS, SES(Concept of Building Loosely Coupled Architecture
Lambda and API Gateway
CloudTrail, Config, and Trusted Advisor, Shell Script basics</t>
  </si>
  <si>
    <t>✅ Lab 15: SNS, SQS, and SES Integration (Send notifications, trigger workflows, send emails)
✅ Lab 16: Lambda Basics (Write a basic Lambda function &amp; execute it)</t>
  </si>
  <si>
    <t xml:space="preserve">Git &amp; Version Control
Git Basics
What is Git?
Installing Git
Basic Git Commands (init, add, commit, status, log)
Git Branching &amp; Merging
Creating &amp; Merging Branches
</t>
  </si>
  <si>
    <t xml:space="preserve">✅ Lab 17: Basic Git commands by tracking and pushing changes to GitHub.
</t>
  </si>
  <si>
    <t>Intro &amp; Architecture: Jenkins overview, CI/CD role.
Installation: Setup on Windows/Linux/macOS, initial unlock.
Dashboard Tour: Jobs, builds, plugins, nodes.
Configuration: Global settings, user roles, plugin management.
First Job: Freestyle project, Git integration, build steps.
Triggers: Manual, SCM polling, webhooks, cron scheduling.
Pipelines, Integration &amp; Best Practices
Pipeline Types:
Freestyle: Simple UI-based jobs.
Declarative: Structured, readable Jenkinsfile format.
Scripted: Groovy-based, flexible but complex.
Multibranch: Auto-detect branches with Jenkinsfile.
Pipeline as Code: Version-controlled Jenkinsfiles in repo.
Simple Pipeline: Write/run/debug a basic Jenkinsfile.
Tool Integration: GitHub, Slack, email, artifact repos.
Build Management: Logs, artifacts, workspace cleanup</t>
  </si>
  <si>
    <t>✅  18. Build a Declarative Pipeline with Jenkinsfile</t>
  </si>
  <si>
    <t>Introduction to Docker
What is Docker &amp; Why Use It?
Containers vs Virtual Machines
Installing Docker on Windows/Linux/Mac
Docker Images &amp; Containers
Writing Dockerfiles
Building &amp; Managing Images
Running, Stopping, Restarting Containers
Pushing &amp; Pulling Images from Docker Hub &amp; AWS ECR
Scanning Images</t>
  </si>
  <si>
    <t>✅ Lab 19: Setting up Docker Envionment and deploying simple Web App on Docker.</t>
  </si>
  <si>
    <t xml:space="preserve">Kubernetes Basics &amp; Architecture
What is Kubernetes?
Kubernetes Components (Nodes, Pods, Deployments, Services)
Running a Simple Pod &amp; Service
Scaling &amp; Updating Applications
Exposing Applications (ClusterIP, NodePort, LoadBalancer)
Persistent Volumes (PVs) &amp; Persistent Volume Claims (PVCs)
</t>
  </si>
  <si>
    <t>✅ Lab 21: Setting up Kubernetes enviornment and deploying a Simple Web App on k8s
✅ Lab 20: Setting up Kubernetes enviornment and deploying a Simple Web App on k8s  Deploying a Canary Deployment with Horizontal Scaling Deploying a Canary Deployment with Horizontal Scaling</t>
  </si>
  <si>
    <t xml:space="preserve">Final KBA (MCQ)Assessment </t>
  </si>
  <si>
    <t xml:space="preserve">Final Technical Evaluation </t>
  </si>
  <si>
    <t>[NEW] Amazon EC2 Masterclass (Auto Scaling &amp; Load Balancer)</t>
  </si>
  <si>
    <t>https://cognizant.udemy.com/course/aws-ec2-masterclass/</t>
  </si>
  <si>
    <t xml:space="preserve"> AWS Advanced - Identity and Access Management and Database Services</t>
  </si>
  <si>
    <t>AWS Identity Access Management (IAM) Practical Applications</t>
  </si>
  <si>
    <t>https://cognizant.udemy.com/course/aws-identity-access-management-practical-applications/</t>
  </si>
  <si>
    <t xml:space="preserve"> AWS Advanced - Other AWS PaaS Services</t>
  </si>
  <si>
    <t>AWS Cloud Development Kit - From Beginner to Professional</t>
  </si>
  <si>
    <t>https://cognizant.udemy.com/course/aws-cloud-development-kit-from-beginner-to-professional/</t>
  </si>
  <si>
    <t>Learn DevOps: Infrastructure Automation With Terraform</t>
  </si>
  <si>
    <t>https://cognizant.udemy.com/course/learn-devops-infrastructure-automation-with-terraform/</t>
  </si>
  <si>
    <t xml:space="preserve">
TERRAFORM- QUIZ [101-BASICS]</t>
  </si>
  <si>
    <t>https://cognizantlearning.sumtotal.host/rcore/c/pillarRedirect?relyingParty=LM&amp;url=app%2fmanagement%2fLMS_ActDetails.aspx%3fActivityId%3d1446399%26UserMode%3d0</t>
  </si>
  <si>
    <t>Git Complete: The definitive, step-by-step guide to Git</t>
  </si>
  <si>
    <t>https://cognizant.udemy.com/course/git-complete/</t>
  </si>
  <si>
    <t>Docker for the Absolute Beginner - Hands On - DevOps</t>
  </si>
  <si>
    <t>Kubernetes for the Absolute Beginners - Hands-on</t>
  </si>
  <si>
    <t>BU Mandatory Learnings : 
*Below Skill Learnings Has to be parallelly learnt by Genc’s with Stage 2 Topics
NOTE : Candidates must find their own Learning time to learn and complete this skill within the end of Stage 2.</t>
  </si>
  <si>
    <t xml:space="preserve">S.No </t>
  </si>
  <si>
    <t>Learning Path/course name</t>
  </si>
  <si>
    <t>Link to access</t>
  </si>
  <si>
    <t>About the Course</t>
  </si>
  <si>
    <t>Copilot</t>
  </si>
  <si>
    <t>Get started with Microsoft 365 Copilot</t>
  </si>
  <si>
    <t>Click Here</t>
  </si>
  <si>
    <t>This learning path will walk you through the basics of Microsoft 365 Copilot showcase its versatility across various Microsoft 365 applications and offer advice on maximizing its potential.</t>
  </si>
  <si>
    <t>Craft effective prompts for Microsoft Copilot for Microsoft 365</t>
  </si>
  <si>
    <t>This course covers real world scenarios and examples using Copilot in Microsoft 365 apps like Word, Excel, PowerPoint, Teams, Outlook, OneNote, and Chat.</t>
  </si>
  <si>
    <t>Gen AI</t>
  </si>
  <si>
    <t>Fundamentals of Generative AI [101-Basics]</t>
  </si>
  <si>
    <t>The foundational knowledge and skills required to harness the power of Generative AI.</t>
  </si>
  <si>
    <r>
      <t xml:space="preserve">Activity Code: </t>
    </r>
    <r>
      <rPr>
        <b/>
        <sz val="11"/>
        <color rgb="FF000000"/>
        <rFont val="Calibri"/>
        <family val="2"/>
        <scheme val="minor"/>
      </rPr>
      <t>ELRNG01863</t>
    </r>
  </si>
  <si>
    <t>The ability to identify opportunities for innovation and implementation of AI within their organizations.</t>
  </si>
  <si>
    <t>The skills to drive organizations toward a future of enhanced creativity and competitive advantage using AI techniques</t>
  </si>
  <si>
    <t>GENERATIVE AI QUICK ASSESSMENT FOR ELEARNING QUIZ [101-BASICS]</t>
  </si>
  <si>
    <t>This assessment is to assess the knowledge of associates on Generative AI tools and concepts at a Beginner proficiency.</t>
  </si>
  <si>
    <r>
      <t xml:space="preserve">Activity Code: </t>
    </r>
    <r>
      <rPr>
        <b/>
        <sz val="11"/>
        <color rgb="FF000000"/>
        <rFont val="Calibri"/>
        <family val="2"/>
        <scheme val="minor"/>
      </rPr>
      <t>ATHDW335105</t>
    </r>
  </si>
  <si>
    <t>Responsible AI</t>
  </si>
  <si>
    <t>Introduction to Responsible AI</t>
  </si>
  <si>
    <t>Overview of Responsible AI</t>
  </si>
  <si>
    <r>
      <t xml:space="preserve">Activity Code: </t>
    </r>
    <r>
      <rPr>
        <b/>
        <sz val="11"/>
        <color rgb="FF000000"/>
        <rFont val="Calibri"/>
        <family val="2"/>
        <scheme val="minor"/>
      </rPr>
      <t>CGZ-914en</t>
    </r>
  </si>
  <si>
    <t>Responsible AI-Deep Dive  [101- BASICS]</t>
  </si>
  <si>
    <t>This course focuses on Cognizant's key principles of Responsible AI</t>
  </si>
  <si>
    <r>
      <t>Activity Code:</t>
    </r>
    <r>
      <rPr>
        <b/>
        <sz val="11"/>
        <color rgb="FF000000"/>
        <rFont val="Calibri"/>
        <family val="2"/>
        <scheme val="minor"/>
      </rPr>
      <t>ELRNG02344</t>
    </r>
    <r>
      <rPr>
        <sz val="11"/>
        <color rgb="FF000000"/>
        <rFont val="Calibri"/>
        <family val="2"/>
        <scheme val="minor"/>
      </rPr>
      <t xml:space="preserve"> </t>
    </r>
  </si>
  <si>
    <t>Flowsource</t>
  </si>
  <si>
    <t>Cognizant Flowsource 101 Foundation Program [101-BASICS]</t>
  </si>
  <si>
    <t xml:space="preserve">Cognizant Flowsource is an innovative platform powered by automation and generative AI. </t>
  </si>
  <si>
    <r>
      <t xml:space="preserve">Activity Code: </t>
    </r>
    <r>
      <rPr>
        <b/>
        <sz val="11"/>
        <color rgb="FF000000"/>
        <rFont val="Calibri"/>
        <family val="2"/>
        <scheme val="minor"/>
      </rPr>
      <t>ELRNG02089</t>
    </r>
  </si>
  <si>
    <t>Module Name: ITIL</t>
  </si>
  <si>
    <t>Activity Name</t>
  </si>
  <si>
    <t>Activity Description</t>
  </si>
  <si>
    <t>Launch URL</t>
  </si>
  <si>
    <t>Introduction to Service Management with ITIL 4</t>
  </si>
  <si>
    <t>Describing the ITIL framework    Understanding real-world examples    Applying ITIL 4 to your organization    Discuss ITIL 4 concepts with confidence</t>
  </si>
  <si>
    <t>https://cognizant.udemy.com/service-management-itil-4</t>
  </si>
  <si>
    <t>Creating Measures and Metrics using the ITIL 4 Framework</t>
  </si>
  <si>
    <t>You will understand the reasons why you should setup measurements and metrics in your organization    You will be able to develop custom measures and metrics based on your desired goals    You will learn the 5 different types of measurement models    You will learn the 5 different types of assessment methods</t>
  </si>
  <si>
    <t>https://cognizant.udemy.com/creating-measures-and-metrics-using-the-itil-4-framework</t>
  </si>
  <si>
    <t>ITIL 4 Foundation Exam Prep / Practice Tests (updated 2021)</t>
  </si>
  <si>
    <t>This course prepares the llearners for the actual Information Technology Infrastructure Library 4 Foundation (or ITIL 4 Foundation for short) exam with full explanations for each and every questions.Students do not only get full access to questions and answers but more importantly the detail explanations. For any confusions that students might get, our team will respond in timely manner to clarify.The certification enables candidates to look at IT Service Management through an end-to-end operating model for the creation, delivery and continual improvement of tech-enabled products and services.</t>
  </si>
  <si>
    <t>https://cognizant.udemy.com/course/itil-4-foundation-exam-prep-updated-2020/</t>
  </si>
  <si>
    <t>ServiceNow ITSM Processes</t>
  </si>
  <si>
    <t>Learn all there is to know about the ITSM processes and how they apply in ServiceNow</t>
  </si>
  <si>
    <t>https://cognizant.udemy.com/course/itsm-processes-applied-in-servicenow-from-0-to-hero/</t>
  </si>
  <si>
    <t>Candidates will have to go through the below self-paced learnings and the K point recording links and come prepared for the SME session which will be planned for 90 mts.</t>
  </si>
  <si>
    <t xml:space="preserve">        Day 1</t>
  </si>
  <si>
    <t xml:space="preserve">https://cognizant.kpoint.com/web/videos/gcc-22fc2f16-36a9-496a-8a8b-746248d33c2d  </t>
  </si>
  <si>
    <t xml:space="preserve">        Day 2</t>
  </si>
  <si>
    <t xml:space="preserve">https://cognizant.kpoint.com/web/videos/gcc-bc3685dc-cc3e-49ab-ba06-e2a6d2523fcd  </t>
  </si>
  <si>
    <t>GenAI Foundation:</t>
  </si>
  <si>
    <t>Learning Component</t>
  </si>
  <si>
    <t>Activity Code / Link</t>
  </si>
  <si>
    <t>Mode</t>
  </si>
  <si>
    <t>Key Coverage / Outcome</t>
  </si>
  <si>
    <t>GenAI Foundation</t>
  </si>
  <si>
    <t>Fundamentals of Generative AI</t>
  </si>
  <si>
    <t>ELRNG01863</t>
  </si>
  <si>
    <t>Self-paced</t>
  </si>
  <si>
    <t xml:space="preserve">Basics of GenAI, innovation </t>
  </si>
  <si>
    <t>opportunities, creativity &amp;</t>
  </si>
  <si>
    <t xml:space="preserve"> competitive advantage</t>
  </si>
  <si>
    <t>Generative AI Quick Assessment</t>
  </si>
  <si>
    <t>ATHDW335105</t>
  </si>
  <si>
    <t xml:space="preserve">Beginner-level GenAI tools &amp; </t>
  </si>
  <si>
    <t>concepts evaluation</t>
  </si>
  <si>
    <t>CGZ-914en</t>
  </si>
  <si>
    <t xml:space="preserve">Overview of Responsible </t>
  </si>
  <si>
    <t>AI principles</t>
  </si>
  <si>
    <t>Responsible AI Deep Dive</t>
  </si>
  <si>
    <t>ELRNG02344</t>
  </si>
  <si>
    <t>Fairness, Accountability, Safety,</t>
  </si>
  <si>
    <t xml:space="preserve"> Transparency</t>
  </si>
  <si>
    <t>Prompt Engineering:</t>
  </si>
  <si>
    <t>Prompt Engineering</t>
  </si>
  <si>
    <t>Prompt Engineering Foundation</t>
  </si>
  <si>
    <t>PY0009562</t>
  </si>
  <si>
    <t>Self-paced + Lab</t>
  </si>
  <si>
    <t>Prompting techniques, best practices, ethics, hands-on lab</t>
  </si>
  <si>
    <t>GitHub Copilot:</t>
  </si>
  <si>
    <t>Introduction to GitHub Copilot</t>
  </si>
  <si>
    <t>https://learn.microsoft.com/en-us/training/modules/introduction-to-github-copilot/</t>
  </si>
  <si>
    <t>Overview of GitHub Copilot features</t>
  </si>
  <si>
    <t>GitHub Copilot for Beginners: AI Coding Crash Course</t>
  </si>
  <si>
    <t>https://cognizant.udemy.com/course/github-copilot-for-beginners-ai-coding-crash-course/</t>
  </si>
  <si>
    <t>Beginner-friendly coding with Copilot</t>
  </si>
  <si>
    <t>GitHub Copilot – The Complete Guide – 2025</t>
  </si>
  <si>
    <t>https://cognizant.udemy.com/course/github-copilot-the-complete-guide/#overview</t>
  </si>
  <si>
    <t>Comprehensive guide to Copilot usage</t>
  </si>
  <si>
    <t>GitHub Copilot Tutorials</t>
  </si>
  <si>
    <t>https://github.com/features/copilot/tutorials</t>
  </si>
  <si>
    <t>Practical tutorials for Copilot</t>
  </si>
  <si>
    <t>GitHub Copilot Chat Cookbook</t>
  </si>
  <si>
    <t>https://docs.github.com/en/copilot/tutorials/copilot-chat-cookbook</t>
  </si>
  <si>
    <t>Sample prompts to use with GitHub Copilot Chat.</t>
  </si>
  <si>
    <t>Practice Exercise</t>
  </si>
  <si>
    <t>https://patterns.hattori.dev/general/object-generation-from-structured-data/</t>
  </si>
  <si>
    <t>Hands-on</t>
  </si>
  <si>
    <t>Structured data to object generation</t>
  </si>
  <si>
    <t>Use case Implementation:</t>
  </si>
  <si>
    <t>Implement the Core Use Cases outlined under the following functional areas:</t>
  </si>
  <si>
    <t>Refer to the GitHub Copilot Usage Guidelines.pdf for best practices and guidelines to be followed.</t>
  </si>
  <si>
    <t>Project Implementation using GitHub Copilot (Applicable for FSE/Standard/Programming tracks):</t>
  </si>
  <si>
    <t>Skill Category</t>
  </si>
  <si>
    <t>MLS pathway code/Course Code</t>
  </si>
  <si>
    <t>Course Name</t>
  </si>
  <si>
    <t>Duration (in Hrs)</t>
  </si>
  <si>
    <t>Delivery Mode</t>
  </si>
  <si>
    <t>AI Agent</t>
  </si>
  <si>
    <t>PY0010995</t>
  </si>
  <si>
    <t>AI Agents - 101 Basics</t>
  </si>
  <si>
    <t>Module Name: AI Agents</t>
  </si>
  <si>
    <t>Topic #</t>
  </si>
  <si>
    <t>Topic  Name</t>
  </si>
  <si>
    <t>Learning Objective #</t>
  </si>
  <si>
    <t>Learning Objective for the Topics</t>
  </si>
  <si>
    <t>Module 1 - Enterprise Strategy, Governance and Ethical Guidelines</t>
  </si>
  <si>
    <t>Explore Enterprise Strategy, Governance and Ethical Guidelines</t>
  </si>
  <si>
    <t>Module 2 - Introduction to AI Agents</t>
  </si>
  <si>
    <t>Define what an AI agent is.</t>
  </si>
  <si>
    <t>Describe the key differences between AI agents and Agentic AI.</t>
  </si>
  <si>
    <t>Describe the various frameworks for building multi-agent AI applications.</t>
  </si>
  <si>
    <t>Module 3 - Agent Agents - Deep Dive</t>
  </si>
  <si>
    <t>Identify the steps involved in building digital workers with AI</t>
  </si>
  <si>
    <t>Explain the concept of digital workers and their role in automation</t>
  </si>
  <si>
    <t>Describe how LLM agents can be used to build AI Agents</t>
  </si>
  <si>
    <t>Module 4 - AI Agents - Use cases</t>
  </si>
  <si>
    <t>Identify the tools and resources needed for hands-on work with Crew A</t>
  </si>
  <si>
    <t>List real-world examples of AI agents.</t>
  </si>
  <si>
    <t>Explain how AI agents can benefit enterprise operations</t>
  </si>
  <si>
    <t>Module 5 - AI Agents - Knowledge Based Assessments</t>
  </si>
  <si>
    <r>
      <t>By the end of this </t>
    </r>
    <r>
      <rPr>
        <b/>
        <sz val="11"/>
        <color rgb="FF000000"/>
        <rFont val="Calibri"/>
        <family val="2"/>
        <scheme val="minor"/>
      </rPr>
      <t>90 Mins Knowledge Based Assessment</t>
    </r>
    <r>
      <rPr>
        <sz val="11"/>
        <color rgb="FF000000"/>
        <rFont val="Calibri"/>
        <family val="2"/>
        <scheme val="minor"/>
      </rPr>
      <t>, you will be successfully completing the assessment on AI Agents topics</t>
    </r>
  </si>
  <si>
    <t>Follow the Ethical Guidelines.</t>
  </si>
  <si>
    <t>Define AI agents and related concepts</t>
  </si>
  <si>
    <t>Explain the characteristics, and differences</t>
  </si>
  <si>
    <t>Illustrate examples and use cases of AI agents in various applications and industries</t>
  </si>
  <si>
    <t>If you score 70% or above by means of multiple choice question, you will get the skill acquisition for AI Agents for Beginner level (PL1).</t>
  </si>
  <si>
    <t>Skills</t>
  </si>
  <si>
    <t>Software  Req</t>
  </si>
  <si>
    <t xml:space="preserve">CCL  Lab </t>
  </si>
  <si>
    <t xml:space="preserve">Github license </t>
  </si>
  <si>
    <t xml:space="preserve">AI Agents , Agentic AI </t>
  </si>
  <si>
    <r>
      <t>• CCL  Lab:</t>
    </r>
    <r>
      <rPr>
        <sz val="11"/>
        <color theme="1"/>
        <rFont val="Calibri"/>
        <family val="2"/>
        <scheme val="minor"/>
      </rPr>
      <t xml:space="preserve"> The coach should request lab access from the IIHT POC (ID: 905209). A Lab guideline document will be provided.</t>
    </r>
    <r>
      <rPr>
        <b/>
        <sz val="11"/>
        <color theme="1"/>
        <rFont val="Calibri"/>
        <family val="2"/>
        <scheme val="minor"/>
      </rPr>
      <t xml:space="preserve">
• GitHub Copilot: </t>
    </r>
    <r>
      <rPr>
        <sz val="11"/>
        <color theme="1"/>
        <rFont val="Calibri"/>
        <family val="2"/>
        <scheme val="minor"/>
      </rPr>
      <t>License activation request to be placed two weeks before training to POC 
(ID: 698520).</t>
    </r>
  </si>
  <si>
    <t>Week</t>
  </si>
  <si>
    <t>Session Name</t>
  </si>
  <si>
    <t>Module</t>
  </si>
  <si>
    <t>Duration</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</si>
  <si>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</si>
  <si>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</si>
  <si>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</si>
  <si>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</si>
  <si>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</si>
  <si>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</si>
  <si>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</si>
  <si>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</si>
  <si>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</si>
  <si>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</si>
  <si>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</si>
  <si>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</si>
  <si>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</si>
  <si>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</si>
  <si>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</si>
  <si>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</si>
  <si>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</si>
  <si>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</si>
  <si>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</si>
  <si>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</si>
  <si>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</si>
  <si>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</si>
  <si>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</si>
  <si>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</si>
  <si>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</si>
  <si>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</si>
  <si>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</si>
  <si>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</si>
  <si>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</si>
  <si>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</si>
  <si>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</si>
  <si>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</si>
  <si>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</si>
  <si>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</si>
  <si>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</si>
  <si>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 xml:space="preserve">Total Duration </t>
  </si>
  <si>
    <t>NOTE: The below topics will be covered during the Trainer-led ILT session. In addition to the ILT sessions, trainees are expected to complete the assigned self‑learning modules. Trainees may also use any open‑source online code editors to practice hands‑on exercises.</t>
  </si>
  <si>
    <t>Python GenC curriculum scope - 4 days(36 hrs)</t>
  </si>
  <si>
    <t>Day 1 — Python Basics &amp; Core Data Types</t>
  </si>
  <si>
    <t>Learning Objectives:</t>
  </si>
  <si>
    <t>Gain foundational understanding of Python syntax, variables, and core data structures.</t>
  </si>
  <si>
    <t>1. Gain foundational understanding of Python syntax, variables, and core data structures.</t>
  </si>
  <si>
    <t>Topics</t>
  </si>
  <si>
    <t>2. Write structured programs using conditionals, loops, and functions.</t>
  </si>
  <si>
    <t>Python Installation &amp; Setup</t>
  </si>
  <si>
    <t>3. Develop modular and reusable code using OOP, files, exceptions, and modules.</t>
  </si>
  <si>
    <t>Python 2 vs Python 3</t>
  </si>
  <si>
    <t>4. Apply advanced Python concepts to build applications and develop a project portfolio.</t>
  </si>
  <si>
    <t>Variables &amp; Data Types</t>
  </si>
  <si>
    <t>Numbers</t>
  </si>
  <si>
    <t>Strings</t>
  </si>
  <si>
    <r>
      <t xml:space="preserve">Udmey Course : 
</t>
    </r>
    <r>
      <rPr>
        <sz val="10"/>
        <color theme="1"/>
        <rFont val="Calibri"/>
        <family val="2"/>
      </rPr>
      <t>https://cognizant.udemy.com/course/complete-python-programming-masterclass-beginner-to-advanced/learn/</t>
    </r>
  </si>
  <si>
    <t>Lists, Tuples, Sets, Dictionaries</t>
  </si>
  <si>
    <t xml:space="preserve">Day 1 — Hands‑On </t>
  </si>
  <si>
    <r>
      <t>1. Create a Python script</t>
    </r>
    <r>
      <rPr>
        <sz val="10"/>
        <color theme="1"/>
        <rFont val="Calibri"/>
        <family val="2"/>
      </rPr>
      <t xml:space="preserve"> that prints your name, location, and current date.</t>
    </r>
  </si>
  <si>
    <r>
      <t>2. Work with all data types</t>
    </r>
    <r>
      <rPr>
        <sz val="10"/>
        <color theme="1"/>
        <rFont val="Calibri"/>
        <family val="2"/>
      </rPr>
      <t>: create and manipulate lists, tuples, sets, and dictionaries.</t>
    </r>
  </si>
  <si>
    <r>
      <t>3. Build a simple calculator</t>
    </r>
    <r>
      <rPr>
        <sz val="10"/>
        <color theme="1"/>
        <rFont val="Calibri"/>
        <family val="2"/>
      </rPr>
      <t xml:space="preserve"> performing +, –, ×, ÷ from user input.</t>
    </r>
  </si>
  <si>
    <t>Day 2 — Control Flow &amp; Functions</t>
  </si>
  <si>
    <t>Write structured programs using conditionals, loops, and functions.</t>
  </si>
  <si>
    <t>Boolean Logic</t>
  </si>
  <si>
    <t>If / Else</t>
  </si>
  <si>
    <t>For &amp; While Loops</t>
  </si>
  <si>
    <t>Functions</t>
  </si>
  <si>
    <t>Lambda Expressions</t>
  </si>
  <si>
    <t>Scope</t>
  </si>
  <si>
    <t>Built‑in Methods</t>
  </si>
  <si>
    <t>Day 2 — Hands‑On</t>
  </si>
  <si>
    <r>
      <t>1. Create an Even/Odd Checker</t>
    </r>
    <r>
      <rPr>
        <sz val="10"/>
        <color theme="1"/>
        <rFont val="Calibri"/>
        <family val="2"/>
      </rPr>
      <t xml:space="preserve"> using if/else and user input.</t>
    </r>
  </si>
  <si>
    <r>
      <t>2. Build a Number Guessing Game</t>
    </r>
    <r>
      <rPr>
        <sz val="10"/>
        <color theme="1"/>
        <rFont val="Calibri"/>
        <family val="2"/>
      </rPr>
      <t xml:space="preserve"> using a while loop.</t>
    </r>
  </si>
  <si>
    <r>
      <t>3. Write reusable functions</t>
    </r>
    <r>
      <rPr>
        <sz val="10"/>
        <color theme="1"/>
        <rFont val="Calibri"/>
        <family val="2"/>
      </rPr>
      <t xml:space="preserve"> including a lambda‑based sorting function.</t>
    </r>
  </si>
  <si>
    <t>Day 3 — OOP, Modules &amp; Files</t>
  </si>
  <si>
    <t>Develop modular and reusable code using OOP, files, exceptions, and modules.</t>
  </si>
  <si>
    <t>Classes &amp; Objects</t>
  </si>
  <si>
    <t>Inheritance &amp; Polymorphism</t>
  </si>
  <si>
    <t>Modules &amp; Packages</t>
  </si>
  <si>
    <t>Error &amp; Exception Handling</t>
  </si>
  <si>
    <t>File Handling</t>
  </si>
  <si>
    <t>Iterators &amp; Generators</t>
  </si>
  <si>
    <t>Day 3 — Hands‑On</t>
  </si>
  <si>
    <r>
      <t>1. Create a Car class</t>
    </r>
    <r>
      <rPr>
        <sz val="10"/>
        <color theme="1"/>
        <rFont val="Calibri"/>
        <family val="2"/>
      </rPr>
      <t xml:space="preserve"> and an ElectricCar class using inheritance.</t>
    </r>
  </si>
  <si>
    <r>
      <t>2. Read and write to a text file</t>
    </r>
    <r>
      <rPr>
        <sz val="10"/>
        <color theme="1"/>
        <rFont val="Calibri"/>
        <family val="2"/>
      </rPr>
      <t>, including error handling (try/except).</t>
    </r>
  </si>
  <si>
    <r>
      <t>3. Build and import a custom module</t>
    </r>
    <r>
      <rPr>
        <sz val="10"/>
        <color theme="1"/>
        <rFont val="Calibri"/>
        <family val="2"/>
      </rPr>
      <t xml:space="preserve"> (e.g., utils.py with helper functions).</t>
    </r>
  </si>
  <si>
    <t>Day 4 — Advanced Python &amp; Projects</t>
  </si>
  <si>
    <t>Apply advanced Python concepts to build applications and develop a project portfolio.</t>
  </si>
  <si>
    <t>List Comprehensions</t>
  </si>
  <si>
    <t>Decorators</t>
  </si>
  <si>
    <t>Map, Filter, Reduce</t>
  </si>
  <si>
    <t>Jupyter Notebook</t>
  </si>
  <si>
    <t>Standard Libraries</t>
  </si>
  <si>
    <t>Debugging</t>
  </si>
  <si>
    <t>Unit Testing</t>
  </si>
  <si>
    <t>GUI (Tkinter)</t>
  </si>
  <si>
    <t>Game Development</t>
  </si>
  <si>
    <t>Mini/Final Projects</t>
  </si>
  <si>
    <t>Portfolio Prep</t>
  </si>
  <si>
    <t>🖐 Day 4 — Hands‑On</t>
  </si>
  <si>
    <r>
      <t>1. Create a Jupyter Notebook</t>
    </r>
    <r>
      <rPr>
        <sz val="10"/>
        <color theme="1"/>
        <rFont val="Calibri"/>
        <family val="2"/>
      </rPr>
      <t xml:space="preserve"> using list comprehensions and map/filter/reduce examples.</t>
    </r>
  </si>
  <si>
    <r>
      <t>2. Build a simple Tkinter GUI app</t>
    </r>
    <r>
      <rPr>
        <sz val="10"/>
        <color theme="1"/>
        <rFont val="Calibri"/>
        <family val="2"/>
      </rPr>
      <t>, such as a basic calculator or form.</t>
    </r>
  </si>
  <si>
    <r>
      <t>3. Create a mini project</t>
    </r>
    <r>
      <rPr>
        <sz val="10"/>
        <color theme="1"/>
        <rFont val="Calibri"/>
        <family val="2"/>
      </rPr>
      <t xml:space="preserve"> (Expense Tracker or Contact Book) and upload it to GitHub as part of a starter portfolio.</t>
    </r>
  </si>
  <si>
    <t>Refer TOC_Python for skill details</t>
  </si>
  <si>
    <t>Other AWS PaaS Services - SNS, SQS, SES(Concept of Building Loosely Coupled Architecture ,Lambda and API Gateway
CloudTrail, Config, and Trusted Advisor</t>
  </si>
  <si>
    <t>AWS Fundamentals and Linux Basic</t>
  </si>
  <si>
    <t>https://cognizant.udemy.com/course/linux-bash-shell-scripting-through-real-life-examples/</t>
  </si>
  <si>
    <t>Complete Linux Bash Shell Scripting with Real Life 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</si>
</sst>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x14ac:knownFonts="1">
    <font>
      <sz val="11"/>
      <color theme="1"/>
      <name val="Calibri"/>
      <family val="2"/>
      <scheme val="minor"/>
    </font>
    <font>
      <u/>
      <sz val="11"/>
      <color theme="10"/>
      <name val="Calibri"/>
      <family val="2"/>
      <scheme val="minor"/>
    </font>
    <font>
      <sz val="10"/>
      <color theme="1"/>
      <name val="Arial"/>
      <family val="2"/>
    </font>
    <font>
      <sz val="8"/>
      <name val="Calibri"/>
      <family val="2"/>
      <scheme val="minor"/>
    </font>
    <font>
      <b/>
      <sz val="12"/>
      <color theme="2"/>
      <name val="Arial"/>
      <family val="2"/>
    </font>
    <font>
      <sz val="11"/>
      <color indexed="8"/>
      <name val="Calibri"/>
      <family val="2"/>
    </font>
    <font>
      <sz val="10"/>
      <color theme="1"/>
      <name val="Calibri"/>
      <family val="2"/>
      <scheme val="minor"/>
    </font>
    <font>
      <b/>
      <i/>
      <sz val="10"/>
      <color theme="0"/>
      <name val="Calibri"/>
      <family val="2"/>
    </font>
    <font>
      <sz val="10"/>
      <color theme="1"/>
      <name val="Calibri"/>
      <family val="2"/>
    </font>
    <font>
      <i/>
      <sz val="10"/>
      <color theme="1"/>
      <name val="Calibri"/>
      <family val="2"/>
    </font>
    <font>
      <sz val="10"/>
      <color rgb="FF000000"/>
      <name val="Calibri"/>
      <family val="2"/>
      <scheme val="minor"/>
    </font>
    <font>
      <i/>
      <sz val="10"/>
      <color rgb="FF000000"/>
      <name val="Calibri"/>
      <family val="2"/>
      <scheme val="minor"/>
    </font>
    <font>
      <b/>
      <sz val="10"/>
      <color theme="2"/>
      <name val="Arial"/>
      <family val="2"/>
    </font>
    <font>
      <u/>
      <sz val="10"/>
      <color theme="10"/>
      <name val="Arial"/>
      <family val="2"/>
    </font>
    <font>
      <sz val="10"/>
      <name val="Arial"/>
      <family val="2"/>
    </font>
    <font>
      <b/>
      <sz val="10"/>
      <color theme="1"/>
      <name val="Arial"/>
      <family val="2"/>
    </font>
    <font>
      <sz val="12"/>
      <color theme="1"/>
      <name val="Arial"/>
      <family val="2"/>
    </font>
    <font>
      <b/>
      <sz val="12"/>
      <color theme="1"/>
      <name val="Arial"/>
      <family val="2"/>
    </font>
    <font>
      <b/>
      <sz val="12"/>
      <color theme="0"/>
      <name val="Arial"/>
      <family val="2"/>
    </font>
    <font>
      <sz val="12"/>
      <color theme="0"/>
      <name val="Arial"/>
      <family val="2"/>
    </font>
    <font>
      <sz val="11"/>
      <color theme="1"/>
      <name val="Calibri"/>
      <family val="2"/>
      <scheme val="minor"/>
    </font>
    <font>
      <b/>
      <sz val="11"/>
      <color theme="1"/>
      <name val="Calibri"/>
      <family val="2"/>
      <scheme val="minor"/>
    </font>
    <font>
      <sz val="12"/>
      <color theme="1"/>
      <name val="Calibri"/>
      <family val="2"/>
      <scheme val="minor"/>
    </font>
    <font>
      <b/>
      <sz val="9"/>
      <color theme="0"/>
      <name val="Calibri"/>
      <family val="2"/>
      <scheme val="minor"/>
    </font>
    <font>
      <b/>
      <sz val="12"/>
      <color theme="0"/>
      <name val="Calibri"/>
      <family val="2"/>
      <scheme val="minor"/>
    </font>
    <font>
      <b/>
      <sz val="11"/>
      <color theme="0"/>
      <name val="Calibri"/>
      <family val="2"/>
      <scheme val="minor"/>
    </font>
    <font>
      <sz val="11"/>
      <color theme="0"/>
      <name val="Calibri"/>
      <family val="2"/>
      <scheme val="minor"/>
    </font>
    <font>
      <b/>
      <sz val="16"/>
      <color rgb="FFFFFFFF"/>
      <name val="Calibri"/>
      <family val="2"/>
      <scheme val="minor"/>
    </font>
    <font>
      <b/>
      <sz val="11"/>
      <color rgb="FF1F4E78"/>
      <name val="Calibri"/>
      <family val="2"/>
      <scheme val="minor"/>
    </font>
    <font>
      <b/>
      <sz val="11"/>
      <color rgb="FF000000"/>
      <name val="Calibri"/>
      <family val="2"/>
      <scheme val="minor"/>
    </font>
    <font>
      <b/>
      <sz val="12"/>
      <name val="Arial"/>
      <family val="2"/>
    </font>
    <font>
      <sz val="11"/>
      <color rgb="FF003366"/>
      <name val="Calibri"/>
      <family val="2"/>
      <scheme val="minor"/>
    </font>
    <font>
      <b/>
      <sz val="11"/>
      <color rgb="FFFF0000"/>
      <name val="Calibri"/>
      <family val="2"/>
      <scheme val="minor"/>
    </font>
    <font>
      <b/>
      <sz val="11"/>
      <color rgb="FF000000"/>
      <name val="Arial"/>
      <family val="2"/>
    </font>
    <font>
      <sz val="11"/>
      <color rgb="FF0D0D0D"/>
      <name val="Calibri"/>
      <family val="2"/>
      <scheme val="minor"/>
    </font>
    <font>
      <sz val="11"/>
      <color rgb="FF000000"/>
      <name val="Calibri"/>
      <family val="2"/>
      <scheme val="minor"/>
    </font>
    <font>
      <b/>
      <sz val="12"/>
      <color rgb="FF002060"/>
      <name val="Calibri"/>
      <family val="2"/>
      <scheme val="minor"/>
    </font>
    <font>
      <b/>
      <sz val="12"/>
      <color rgb="FFFFFFFF"/>
      <name val="Calibri"/>
      <family val="2"/>
      <scheme val="minor"/>
    </font>
    <font>
      <sz val="11"/>
      <color theme="1"/>
      <name val="Aptos"/>
      <family val="2"/>
    </font>
    <font>
      <b/>
      <sz val="10"/>
      <color theme="0"/>
      <name val="Aptos"/>
      <family val="2"/>
    </font>
    <font>
      <sz val="10"/>
      <color theme="1"/>
      <name val="Aptos"/>
      <family val="2"/>
    </font>
    <font>
      <u/>
      <sz val="11"/>
      <color theme="1"/>
      <name val="Calibri"/>
      <family val="2"/>
      <scheme val="minor"/>
    </font>
    <font>
      <b/>
      <sz val="12"/>
      <color theme="2"/>
      <name val="Calibri"/>
      <family val="2"/>
    </font>
    <font>
      <b/>
      <sz val="10"/>
      <color theme="1"/>
      <name val="Calibri"/>
      <family val="2"/>
    </font>
  </fonts>
  <fills count="1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002060"/>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FFC000"/>
        <bgColor indexed="64"/>
      </patternFill>
    </fill>
    <fill>
      <patternFill patternType="solid">
        <fgColor rgb="FF000048"/>
        <bgColor indexed="64"/>
      </patternFill>
    </fill>
    <fill>
      <patternFill patternType="solid">
        <fgColor rgb="FFFFFFFF"/>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rgb="FF000000"/>
      </top>
      <bottom style="medium">
        <color rgb="FF000000"/>
      </bottom>
      <diagonal/>
    </border>
    <border>
      <left style="thin">
        <color indexed="64"/>
      </left>
      <right/>
      <top style="medium">
        <color rgb="FF000000"/>
      </top>
      <bottom style="medium">
        <color rgb="FF000000"/>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1" fillId="0" borderId="0" applyNumberFormat="0" applyFill="0" applyBorder="0" applyAlignment="0" applyProtection="0"/>
    <xf numFmtId="0" fontId="5" fillId="0" borderId="0"/>
    <xf numFmtId="0" fontId="20" fillId="0" borderId="0"/>
    <xf numFmtId="0" fontId="14" fillId="0" borderId="0"/>
    <xf numFmtId="0" fontId="14" fillId="0" borderId="0"/>
  </cellStyleXfs>
  <cellXfs count="207">
    <xf numFmtId="0" fontId="0" fillId="0" borderId="0" xfId="0"/>
    <xf numFmtId="0" fontId="7" fillId="5" borderId="1" xfId="0" applyFont="1" applyFill="1" applyBorder="1" applyAlignment="1">
      <alignment horizontal="center" vertical="center" wrapText="1"/>
    </xf>
    <xf numFmtId="0" fontId="6" fillId="0" borderId="0" xfId="0" applyFont="1" applyAlignment="1">
      <alignment vertical="center" wrapText="1"/>
    </xf>
    <xf numFmtId="0" fontId="8" fillId="0" borderId="1" xfId="0" applyFont="1" applyBorder="1" applyAlignment="1">
      <alignment wrapText="1"/>
    </xf>
    <xf numFmtId="0" fontId="8" fillId="0" borderId="1" xfId="0" applyFont="1" applyBorder="1" applyAlignment="1">
      <alignment horizontal="center" wrapText="1"/>
    </xf>
    <xf numFmtId="0" fontId="10" fillId="0" borderId="1" xfId="0" applyFont="1" applyBorder="1" applyAlignment="1">
      <alignment wrapText="1"/>
    </xf>
    <xf numFmtId="0" fontId="10" fillId="0" borderId="1" xfId="0" applyFont="1" applyBorder="1" applyAlignment="1">
      <alignment horizontal="center" wrapText="1"/>
    </xf>
    <xf numFmtId="0" fontId="10" fillId="0" borderId="1" xfId="0" applyFont="1" applyBorder="1" applyAlignment="1">
      <alignment horizontal="left" vertical="center" wrapText="1"/>
    </xf>
    <xf numFmtId="0" fontId="0" fillId="0" borderId="0" xfId="0" applyAlignment="1">
      <alignment horizontal="center" vertical="top"/>
    </xf>
    <xf numFmtId="0" fontId="0" fillId="0" borderId="0" xfId="0" applyAlignment="1">
      <alignment vertical="top"/>
    </xf>
    <xf numFmtId="0" fontId="0" fillId="0" borderId="0" xfId="0" applyAlignment="1">
      <alignment horizontal="center"/>
    </xf>
    <xf numFmtId="0" fontId="12" fillId="4" borderId="1" xfId="0" applyFont="1" applyFill="1" applyBorder="1" applyAlignment="1">
      <alignment horizontal="center"/>
    </xf>
    <xf numFmtId="0" fontId="2" fillId="0" borderId="0" xfId="0" applyFont="1"/>
    <xf numFmtId="0" fontId="2" fillId="0" borderId="1" xfId="0" applyFont="1" applyBorder="1"/>
    <xf numFmtId="0" fontId="13" fillId="0" borderId="1" xfId="1" applyFont="1" applyBorder="1"/>
    <xf numFmtId="0" fontId="2" fillId="0" borderId="0" xfId="0" applyFont="1" applyAlignment="1">
      <alignment horizontal="left" vertical="top"/>
    </xf>
    <xf numFmtId="0" fontId="17" fillId="3" borderId="1" xfId="0" applyFont="1" applyFill="1" applyBorder="1" applyAlignment="1">
      <alignment horizontal="left" vertical="center"/>
    </xf>
    <xf numFmtId="0" fontId="17" fillId="2" borderId="1" xfId="0" applyFont="1" applyFill="1" applyBorder="1" applyAlignment="1">
      <alignment horizontal="center" vertical="center"/>
    </xf>
    <xf numFmtId="0" fontId="18" fillId="4" borderId="1" xfId="0" applyFont="1" applyFill="1" applyBorder="1" applyAlignment="1">
      <alignment horizontal="center" vertical="center" wrapText="1"/>
    </xf>
    <xf numFmtId="0" fontId="19" fillId="0" borderId="0" xfId="0" applyFont="1" applyAlignment="1">
      <alignment horizontal="left" vertical="center"/>
    </xf>
    <xf numFmtId="0" fontId="22" fillId="0" borderId="0" xfId="0" applyFont="1"/>
    <xf numFmtId="0" fontId="0" fillId="0" borderId="0" xfId="0" applyAlignment="1">
      <alignment wrapText="1"/>
    </xf>
    <xf numFmtId="0" fontId="8" fillId="0" borderId="1" xfId="0" applyFont="1" applyBorder="1" applyAlignment="1">
      <alignment horizontal="left" vertical="top" wrapText="1"/>
    </xf>
    <xf numFmtId="0" fontId="8" fillId="0" borderId="1" xfId="0" applyFont="1" applyBorder="1" applyAlignment="1">
      <alignment horizontal="center" vertical="top" wrapText="1"/>
    </xf>
    <xf numFmtId="0" fontId="8" fillId="0" borderId="3" xfId="0" applyFont="1" applyBorder="1" applyAlignment="1">
      <alignment horizontal="center" vertical="center"/>
    </xf>
    <xf numFmtId="0" fontId="1" fillId="0" borderId="1" xfId="1" applyBorder="1"/>
    <xf numFmtId="0" fontId="1" fillId="0" borderId="0" xfId="1"/>
    <xf numFmtId="0" fontId="6" fillId="0" borderId="1" xfId="0" applyFont="1" applyBorder="1" applyAlignment="1">
      <alignment vertical="top"/>
    </xf>
    <xf numFmtId="0" fontId="6" fillId="0" borderId="1" xfId="0" applyFont="1" applyBorder="1" applyAlignment="1">
      <alignment horizontal="center" vertical="top"/>
    </xf>
    <xf numFmtId="0" fontId="17" fillId="3" borderId="3" xfId="0" applyFont="1" applyFill="1" applyBorder="1" applyAlignment="1">
      <alignment horizontal="left" vertical="center"/>
    </xf>
    <xf numFmtId="0" fontId="26" fillId="4" borderId="0" xfId="0" applyFont="1" applyFill="1"/>
    <xf numFmtId="0" fontId="25" fillId="4" borderId="14" xfId="3" applyFont="1" applyFill="1" applyBorder="1" applyAlignment="1">
      <alignment horizontal="left" vertical="center"/>
    </xf>
    <xf numFmtId="0" fontId="25" fillId="4" borderId="15" xfId="3" applyFont="1" applyFill="1" applyBorder="1" applyAlignment="1">
      <alignment horizontal="left" vertical="center"/>
    </xf>
    <xf numFmtId="0" fontId="23" fillId="4" borderId="1" xfId="0" applyFont="1" applyFill="1" applyBorder="1" applyAlignment="1">
      <alignment horizontal="left" vertical="center" wrapText="1"/>
    </xf>
    <xf numFmtId="0" fontId="23" fillId="4" borderId="1" xfId="0" applyFont="1" applyFill="1" applyBorder="1" applyAlignment="1">
      <alignment horizontal="left" vertical="center"/>
    </xf>
    <xf numFmtId="0" fontId="25" fillId="4" borderId="0" xfId="0" applyFont="1" applyFill="1"/>
    <xf numFmtId="0" fontId="0" fillId="0" borderId="1" xfId="0" applyBorder="1" applyAlignment="1">
      <alignment horizontal="left" vertical="center" wrapText="1"/>
    </xf>
    <xf numFmtId="0" fontId="0" fillId="0" borderId="1" xfId="0" applyBorder="1" applyAlignment="1">
      <alignment horizontal="left" vertical="center"/>
    </xf>
    <xf numFmtId="0" fontId="1" fillId="0" borderId="1" xfId="1" applyBorder="1" applyAlignment="1">
      <alignment horizontal="left" vertical="center"/>
    </xf>
    <xf numFmtId="0" fontId="28" fillId="8" borderId="17" xfId="0" applyFont="1" applyFill="1" applyBorder="1" applyAlignment="1">
      <alignment horizontal="left" vertical="top"/>
    </xf>
    <xf numFmtId="0" fontId="29" fillId="9" borderId="13" xfId="0" applyFont="1" applyFill="1" applyBorder="1" applyAlignment="1">
      <alignment vertical="top" wrapText="1"/>
    </xf>
    <xf numFmtId="0" fontId="28" fillId="8" borderId="18" xfId="0" applyFont="1" applyFill="1" applyBorder="1" applyAlignment="1">
      <alignment horizontal="left" vertical="top"/>
    </xf>
    <xf numFmtId="0" fontId="29" fillId="9" borderId="19" xfId="0" applyFont="1" applyFill="1" applyBorder="1" applyAlignment="1">
      <alignment vertical="top" wrapText="1"/>
    </xf>
    <xf numFmtId="0" fontId="28" fillId="8" borderId="18" xfId="0" applyFont="1" applyFill="1" applyBorder="1" applyAlignment="1">
      <alignment horizontal="left" vertical="top" wrapText="1"/>
    </xf>
    <xf numFmtId="0" fontId="28" fillId="8" borderId="20" xfId="0" applyFont="1" applyFill="1" applyBorder="1" applyAlignment="1">
      <alignment horizontal="left" vertical="top" wrapText="1"/>
    </xf>
    <xf numFmtId="0" fontId="0" fillId="0" borderId="0" xfId="0" applyAlignment="1">
      <alignment vertical="top" wrapText="1"/>
    </xf>
    <xf numFmtId="0" fontId="29" fillId="9" borderId="21" xfId="0" applyFont="1" applyFill="1" applyBorder="1" applyAlignment="1">
      <alignment vertical="top" wrapText="1"/>
    </xf>
    <xf numFmtId="0" fontId="30" fillId="3" borderId="1" xfId="0" applyFont="1" applyFill="1" applyBorder="1" applyAlignment="1">
      <alignment horizontal="left" vertical="center"/>
    </xf>
    <xf numFmtId="0" fontId="30" fillId="3" borderId="1" xfId="0" applyFont="1" applyFill="1" applyBorder="1" applyAlignment="1">
      <alignment horizontal="left" vertical="center" wrapText="1"/>
    </xf>
    <xf numFmtId="0" fontId="30" fillId="3" borderId="3" xfId="0" applyFont="1" applyFill="1" applyBorder="1" applyAlignment="1">
      <alignment horizontal="left" vertical="center"/>
    </xf>
    <xf numFmtId="0" fontId="30" fillId="3" borderId="5" xfId="0" applyFont="1" applyFill="1" applyBorder="1" applyAlignment="1">
      <alignment horizontal="left" vertical="center"/>
    </xf>
    <xf numFmtId="0" fontId="30" fillId="3" borderId="8" xfId="0" applyFont="1" applyFill="1" applyBorder="1" applyAlignment="1">
      <alignment horizontal="left" vertical="center" wrapText="1"/>
    </xf>
    <xf numFmtId="0" fontId="30" fillId="3" borderId="6" xfId="0" applyFont="1" applyFill="1" applyBorder="1" applyAlignment="1">
      <alignment horizontal="left" vertical="center" wrapText="1"/>
    </xf>
    <xf numFmtId="0" fontId="30" fillId="3" borderId="1" xfId="0" applyFont="1" applyFill="1" applyBorder="1" applyAlignment="1">
      <alignment horizontal="center" vertical="center"/>
    </xf>
    <xf numFmtId="0" fontId="30" fillId="0" borderId="8" xfId="0" applyFont="1" applyBorder="1" applyAlignment="1">
      <alignment horizontal="left" vertical="center" wrapText="1"/>
    </xf>
    <xf numFmtId="0" fontId="30" fillId="0" borderId="1" xfId="0" applyFont="1" applyBorder="1" applyAlignment="1">
      <alignment horizontal="center" vertical="center"/>
    </xf>
    <xf numFmtId="0" fontId="30" fillId="0" borderId="1" xfId="0" applyFont="1" applyBorder="1" applyAlignment="1">
      <alignment horizontal="left" vertical="center"/>
    </xf>
    <xf numFmtId="0" fontId="30" fillId="0" borderId="1" xfId="0" applyFont="1" applyBorder="1" applyAlignment="1">
      <alignment horizontal="left" vertical="center" wrapText="1"/>
    </xf>
    <xf numFmtId="0" fontId="30" fillId="0" borderId="9" xfId="0" applyFont="1" applyBorder="1" applyAlignment="1">
      <alignment horizontal="left" vertical="center" wrapText="1"/>
    </xf>
    <xf numFmtId="0" fontId="30" fillId="0" borderId="10" xfId="0" applyFont="1" applyBorder="1" applyAlignment="1">
      <alignment horizontal="left" vertical="center" wrapText="1"/>
    </xf>
    <xf numFmtId="0" fontId="17" fillId="3" borderId="1" xfId="0" applyFont="1" applyFill="1" applyBorder="1" applyAlignment="1">
      <alignment horizontal="center" vertical="center"/>
    </xf>
    <xf numFmtId="0" fontId="17" fillId="3" borderId="1" xfId="0" applyFont="1" applyFill="1" applyBorder="1" applyAlignment="1">
      <alignment horizontal="left" vertical="top"/>
    </xf>
    <xf numFmtId="0" fontId="17" fillId="3" borderId="3" xfId="0" applyFont="1" applyFill="1" applyBorder="1" applyAlignment="1">
      <alignment horizontal="center" vertical="center"/>
    </xf>
    <xf numFmtId="0" fontId="16" fillId="0" borderId="0" xfId="0" applyFont="1"/>
    <xf numFmtId="0" fontId="16" fillId="0" borderId="0" xfId="0" applyFont="1" applyAlignment="1">
      <alignment horizontal="left" vertical="top"/>
    </xf>
    <xf numFmtId="0" fontId="16" fillId="6" borderId="0" xfId="0" applyFont="1" applyFill="1" applyAlignment="1">
      <alignment horizontal="left" vertical="top"/>
    </xf>
    <xf numFmtId="0" fontId="16" fillId="0" borderId="0" xfId="0" applyFont="1" applyAlignment="1">
      <alignment horizontal="left" vertical="top" wrapText="1"/>
    </xf>
    <xf numFmtId="0" fontId="16" fillId="0" borderId="0" xfId="0" applyFont="1" applyAlignment="1">
      <alignment horizontal="center" vertical="top"/>
    </xf>
    <xf numFmtId="0" fontId="17" fillId="2" borderId="1" xfId="0" applyFont="1" applyFill="1" applyBorder="1" applyAlignment="1">
      <alignment horizontal="left" vertical="top"/>
    </xf>
    <xf numFmtId="0" fontId="16" fillId="0" borderId="0" xfId="0" applyFont="1" applyAlignment="1">
      <alignment horizontal="center" vertical="center"/>
    </xf>
    <xf numFmtId="0" fontId="30" fillId="0" borderId="0" xfId="0" applyFont="1" applyAlignment="1">
      <alignment horizontal="left" vertical="center" wrapText="1"/>
    </xf>
    <xf numFmtId="0" fontId="31" fillId="0" borderId="0" xfId="0" applyFont="1" applyAlignment="1">
      <alignment horizontal="center"/>
    </xf>
    <xf numFmtId="0" fontId="30" fillId="0" borderId="9" xfId="0" applyFont="1" applyBorder="1" applyAlignment="1">
      <alignment vertical="top" wrapText="1"/>
    </xf>
    <xf numFmtId="0" fontId="33" fillId="10" borderId="23" xfId="0" applyFont="1" applyFill="1" applyBorder="1" applyAlignment="1">
      <alignment vertical="center" wrapText="1"/>
    </xf>
    <xf numFmtId="0" fontId="33" fillId="10" borderId="24" xfId="0" applyFont="1" applyFill="1" applyBorder="1" applyAlignment="1">
      <alignment vertical="center" wrapText="1"/>
    </xf>
    <xf numFmtId="0" fontId="34" fillId="0" borderId="25" xfId="0" applyFont="1" applyBorder="1" applyAlignment="1">
      <alignment vertical="center" wrapText="1"/>
    </xf>
    <xf numFmtId="0" fontId="34" fillId="0" borderId="21" xfId="0" applyFont="1" applyBorder="1" applyAlignment="1">
      <alignment vertical="center" wrapText="1"/>
    </xf>
    <xf numFmtId="0" fontId="1" fillId="0" borderId="21" xfId="1" applyBorder="1" applyAlignment="1">
      <alignment vertical="center" wrapText="1"/>
    </xf>
    <xf numFmtId="0" fontId="35" fillId="0" borderId="21" xfId="0" applyFont="1" applyBorder="1" applyAlignment="1">
      <alignment vertical="center" wrapText="1"/>
    </xf>
    <xf numFmtId="0" fontId="35" fillId="0" borderId="19" xfId="0" applyFont="1" applyBorder="1" applyAlignment="1">
      <alignment vertical="center" wrapText="1"/>
    </xf>
    <xf numFmtId="0" fontId="0" fillId="0" borderId="21" xfId="0" applyBorder="1" applyAlignment="1">
      <alignment vertical="top" wrapText="1"/>
    </xf>
    <xf numFmtId="0" fontId="36" fillId="0" borderId="0" xfId="0" applyFont="1" applyAlignment="1">
      <alignment vertical="center"/>
    </xf>
    <xf numFmtId="0" fontId="21" fillId="0" borderId="0" xfId="0" applyFont="1" applyAlignment="1">
      <alignment vertical="center"/>
    </xf>
    <xf numFmtId="0" fontId="37" fillId="11" borderId="23" xfId="0" applyFont="1" applyFill="1" applyBorder="1" applyAlignment="1">
      <alignment vertical="center"/>
    </xf>
    <xf numFmtId="0" fontId="37" fillId="11" borderId="24" xfId="0" applyFont="1" applyFill="1" applyBorder="1" applyAlignment="1">
      <alignment vertical="center" wrapText="1"/>
    </xf>
    <xf numFmtId="0" fontId="37" fillId="11" borderId="24" xfId="0" applyFont="1" applyFill="1" applyBorder="1" applyAlignment="1">
      <alignment vertical="center"/>
    </xf>
    <xf numFmtId="0" fontId="35" fillId="12" borderId="19" xfId="0" applyFont="1" applyFill="1" applyBorder="1" applyAlignment="1">
      <alignment vertical="center" wrapText="1"/>
    </xf>
    <xf numFmtId="0" fontId="35" fillId="12" borderId="25" xfId="0" applyFont="1" applyFill="1" applyBorder="1" applyAlignment="1">
      <alignment vertical="center"/>
    </xf>
    <xf numFmtId="0" fontId="35" fillId="12" borderId="25" xfId="0" applyFont="1" applyFill="1" applyBorder="1" applyAlignment="1">
      <alignment vertical="center" wrapText="1"/>
    </xf>
    <xf numFmtId="0" fontId="35" fillId="12" borderId="21" xfId="0" applyFont="1" applyFill="1" applyBorder="1" applyAlignment="1">
      <alignment vertical="center" wrapText="1"/>
    </xf>
    <xf numFmtId="0" fontId="35" fillId="12" borderId="21" xfId="0" applyFont="1" applyFill="1" applyBorder="1" applyAlignment="1">
      <alignment vertical="center"/>
    </xf>
    <xf numFmtId="0" fontId="37" fillId="11" borderId="23" xfId="0" applyFont="1" applyFill="1" applyBorder="1" applyAlignment="1">
      <alignment vertical="center" wrapText="1"/>
    </xf>
    <xf numFmtId="0" fontId="1" fillId="12" borderId="21" xfId="1" applyFill="1" applyBorder="1" applyAlignment="1">
      <alignment vertical="center" wrapText="1"/>
    </xf>
    <xf numFmtId="0" fontId="1" fillId="0" borderId="0" xfId="1" applyAlignment="1">
      <alignment vertical="center"/>
    </xf>
    <xf numFmtId="0" fontId="24" fillId="4" borderId="0" xfId="0" applyFont="1" applyFill="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xf>
    <xf numFmtId="0" fontId="21" fillId="0" borderId="0" xfId="0" applyFont="1"/>
    <xf numFmtId="0" fontId="37" fillId="7" borderId="1" xfId="0" applyFont="1" applyFill="1" applyBorder="1" applyAlignment="1">
      <alignment vertical="center"/>
    </xf>
    <xf numFmtId="0" fontId="0" fillId="0" borderId="0" xfId="0" applyAlignment="1">
      <alignment vertical="center"/>
    </xf>
    <xf numFmtId="0" fontId="0" fillId="0" borderId="27" xfId="0" applyBorder="1"/>
    <xf numFmtId="0" fontId="0" fillId="0" borderId="28" xfId="0" applyBorder="1"/>
    <xf numFmtId="0" fontId="21" fillId="0" borderId="1" xfId="0" applyFont="1" applyBorder="1"/>
    <xf numFmtId="0" fontId="38" fillId="0" borderId="0" xfId="0" applyFont="1" applyAlignment="1">
      <alignment vertical="center"/>
    </xf>
    <xf numFmtId="0" fontId="1" fillId="0" borderId="1" xfId="1" applyBorder="1" applyAlignment="1">
      <alignment horizontal="left" vertical="center" wrapText="1"/>
    </xf>
    <xf numFmtId="0" fontId="0" fillId="0" borderId="1" xfId="0" applyBorder="1" applyAlignment="1">
      <alignment horizontal="justify" vertical="center" wrapText="1"/>
    </xf>
    <xf numFmtId="0" fontId="18" fillId="4" borderId="16" xfId="0" applyFont="1" applyFill="1" applyBorder="1" applyAlignment="1">
      <alignment horizontal="center" vertical="center" wrapText="1"/>
    </xf>
    <xf numFmtId="0" fontId="17" fillId="3" borderId="3" xfId="0" applyFont="1" applyFill="1" applyBorder="1" applyAlignment="1">
      <alignment horizontal="left" vertical="top"/>
    </xf>
    <xf numFmtId="0" fontId="30" fillId="0" borderId="1" xfId="0" applyFont="1" applyBorder="1" applyAlignment="1">
      <alignment horizontal="left" vertical="top" wrapText="1"/>
    </xf>
    <xf numFmtId="0" fontId="30" fillId="0" borderId="1" xfId="0" applyFont="1" applyBorder="1" applyAlignment="1">
      <alignment horizontal="center" vertical="top" wrapText="1"/>
    </xf>
    <xf numFmtId="0" fontId="30" fillId="0" borderId="1" xfId="0" applyFont="1" applyBorder="1" applyAlignment="1">
      <alignment vertical="center" wrapText="1"/>
    </xf>
    <xf numFmtId="0" fontId="30" fillId="0" borderId="1" xfId="0" applyFont="1" applyBorder="1" applyAlignment="1">
      <alignment horizontal="center" vertical="center" wrapText="1"/>
    </xf>
    <xf numFmtId="0" fontId="30" fillId="3" borderId="0" xfId="0" applyFont="1" applyFill="1" applyAlignment="1">
      <alignment horizontal="left" vertical="center"/>
    </xf>
    <xf numFmtId="164" fontId="17" fillId="2" borderId="1" xfId="0" applyNumberFormat="1" applyFont="1" applyFill="1" applyBorder="1" applyAlignment="1">
      <alignment horizontal="center" vertical="center"/>
    </xf>
    <xf numFmtId="1" fontId="17" fillId="2" borderId="1" xfId="0" applyNumberFormat="1" applyFont="1" applyFill="1" applyBorder="1" applyAlignment="1">
      <alignment horizontal="center" vertical="center"/>
    </xf>
    <xf numFmtId="0" fontId="30" fillId="3" borderId="16" xfId="0" applyFont="1" applyFill="1" applyBorder="1" applyAlignment="1">
      <alignment horizontal="left" vertical="center" wrapText="1"/>
    </xf>
    <xf numFmtId="0" fontId="30" fillId="3" borderId="14" xfId="0" applyFont="1" applyFill="1" applyBorder="1" applyAlignment="1">
      <alignment horizontal="left" vertical="center" wrapText="1"/>
    </xf>
    <xf numFmtId="0" fontId="30" fillId="0" borderId="16" xfId="0" applyFont="1" applyBorder="1" applyAlignment="1">
      <alignment horizontal="left" vertical="center" wrapText="1"/>
    </xf>
    <xf numFmtId="0" fontId="30" fillId="3" borderId="14" xfId="0" applyFont="1" applyFill="1" applyBorder="1" applyAlignment="1">
      <alignment horizontal="left" vertical="center"/>
    </xf>
    <xf numFmtId="0" fontId="39" fillId="4" borderId="1" xfId="0" applyFont="1" applyFill="1" applyBorder="1" applyAlignment="1">
      <alignment horizontal="left" vertical="center" wrapText="1"/>
    </xf>
    <xf numFmtId="0" fontId="40" fillId="14" borderId="1" xfId="0" applyFont="1" applyFill="1" applyBorder="1" applyAlignment="1">
      <alignment horizontal="left" vertical="center"/>
    </xf>
    <xf numFmtId="0" fontId="1" fillId="14" borderId="1" xfId="1" applyFill="1" applyBorder="1" applyAlignment="1">
      <alignment horizontal="left" vertical="center"/>
    </xf>
    <xf numFmtId="0" fontId="40" fillId="0" borderId="15" xfId="0" applyFont="1" applyBorder="1" applyAlignment="1">
      <alignment horizontal="left" vertical="center"/>
    </xf>
    <xf numFmtId="0" fontId="41" fillId="0" borderId="15" xfId="1" applyFont="1" applyFill="1" applyBorder="1" applyAlignment="1">
      <alignment horizontal="left" vertical="center"/>
    </xf>
    <xf numFmtId="0" fontId="40" fillId="0" borderId="0" xfId="0" applyFont="1" applyAlignment="1">
      <alignment horizontal="left" vertical="center"/>
    </xf>
    <xf numFmtId="0" fontId="25" fillId="4" borderId="1" xfId="5" applyFont="1" applyFill="1" applyBorder="1" applyAlignment="1">
      <alignment vertical="center" wrapText="1"/>
    </xf>
    <xf numFmtId="0" fontId="25" fillId="4" borderId="1" xfId="5" applyFont="1" applyFill="1" applyBorder="1" applyAlignment="1">
      <alignment horizontal="center" vertical="center" wrapText="1"/>
    </xf>
    <xf numFmtId="0" fontId="25" fillId="4" borderId="1" xfId="5" applyFont="1" applyFill="1" applyBorder="1" applyAlignment="1">
      <alignment horizontal="left" vertical="center" wrapText="1"/>
    </xf>
    <xf numFmtId="0" fontId="21" fillId="0" borderId="1" xfId="0" applyFont="1" applyBorder="1" applyAlignment="1">
      <alignment horizontal="left"/>
    </xf>
    <xf numFmtId="0" fontId="0" fillId="0" borderId="1" xfId="0" applyBorder="1" applyAlignment="1">
      <alignment horizontal="left" wrapText="1"/>
    </xf>
    <xf numFmtId="0" fontId="21" fillId="0" borderId="1" xfId="0" applyFont="1" applyBorder="1" applyAlignment="1">
      <alignment horizontal="left" wrapText="1"/>
    </xf>
    <xf numFmtId="0" fontId="42" fillId="4" borderId="1" xfId="0" applyFont="1" applyFill="1" applyBorder="1"/>
    <xf numFmtId="0" fontId="43" fillId="15" borderId="0" xfId="0" applyFont="1" applyFill="1" applyAlignment="1">
      <alignment vertical="center"/>
    </xf>
    <xf numFmtId="0" fontId="43" fillId="14" borderId="0" xfId="0" applyFont="1" applyFill="1"/>
    <xf numFmtId="0" fontId="43" fillId="0" borderId="0" xfId="0" applyFont="1" applyAlignment="1">
      <alignment vertical="center"/>
    </xf>
    <xf numFmtId="0" fontId="8" fillId="0" borderId="0" xfId="0" applyFont="1" applyAlignment="1">
      <alignment vertical="center"/>
    </xf>
    <xf numFmtId="0" fontId="8" fillId="0" borderId="0" xfId="0" applyFont="1" applyAlignment="1">
      <alignment horizontal="left" vertical="center" indent="1"/>
    </xf>
    <xf numFmtId="0" fontId="43" fillId="14" borderId="0" xfId="0" applyFont="1" applyFill="1" applyAlignment="1">
      <alignment wrapText="1"/>
    </xf>
    <xf numFmtId="0" fontId="43" fillId="0" borderId="0" xfId="0" applyFont="1" applyAlignment="1">
      <alignment horizontal="left" vertical="center" indent="1"/>
    </xf>
    <xf numFmtId="0" fontId="8" fillId="0" borderId="16"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horizontal="left" vertical="top" wrapText="1"/>
    </xf>
    <xf numFmtId="0" fontId="8" fillId="0" borderId="1" xfId="0" applyFont="1" applyBorder="1" applyAlignment="1">
      <alignment horizontal="center" vertical="top" wrapText="1"/>
    </xf>
    <xf numFmtId="0" fontId="8" fillId="0" borderId="1" xfId="0" applyFont="1" applyBorder="1" applyAlignment="1">
      <alignment horizontal="center" vertical="top"/>
    </xf>
    <xf numFmtId="0" fontId="10" fillId="0" borderId="1" xfId="0" applyFont="1" applyBorder="1" applyAlignment="1">
      <alignment horizontal="left" vertical="top" wrapText="1"/>
    </xf>
    <xf numFmtId="0" fontId="27" fillId="7" borderId="8" xfId="0" applyFont="1" applyFill="1" applyBorder="1" applyAlignment="1">
      <alignment horizontal="center" vertical="top"/>
    </xf>
    <xf numFmtId="0" fontId="27" fillId="7" borderId="7" xfId="0" applyFont="1" applyFill="1" applyBorder="1" applyAlignment="1">
      <alignment horizontal="center" vertical="top"/>
    </xf>
    <xf numFmtId="0" fontId="29" fillId="9" borderId="19" xfId="0" applyFont="1" applyFill="1" applyBorder="1" applyAlignment="1">
      <alignment horizontal="left" vertical="top" wrapText="1"/>
    </xf>
    <xf numFmtId="1" fontId="30" fillId="0" borderId="1" xfId="0" applyNumberFormat="1" applyFont="1" applyBorder="1" applyAlignment="1">
      <alignment horizontal="center" vertical="center"/>
    </xf>
    <xf numFmtId="0" fontId="30" fillId="0" borderId="1" xfId="0" applyFont="1" applyBorder="1" applyAlignment="1">
      <alignment horizontal="center" vertical="center"/>
    </xf>
    <xf numFmtId="164" fontId="30" fillId="0" borderId="1" xfId="0" applyNumberFormat="1" applyFont="1" applyBorder="1" applyAlignment="1">
      <alignment horizontal="center" vertical="center"/>
    </xf>
    <xf numFmtId="0" fontId="17" fillId="3" borderId="2" xfId="0" applyFont="1" applyFill="1" applyBorder="1" applyAlignment="1">
      <alignment horizontal="center" vertical="center"/>
    </xf>
    <xf numFmtId="0" fontId="17" fillId="3" borderId="3" xfId="0" applyFont="1" applyFill="1" applyBorder="1" applyAlignment="1">
      <alignment horizontal="center" vertical="center"/>
    </xf>
    <xf numFmtId="0" fontId="17" fillId="3" borderId="2" xfId="0" applyFont="1" applyFill="1" applyBorder="1" applyAlignment="1">
      <alignment horizontal="left" vertical="center"/>
    </xf>
    <xf numFmtId="0" fontId="17" fillId="3" borderId="3" xfId="0" applyFont="1" applyFill="1" applyBorder="1" applyAlignment="1">
      <alignment horizontal="left" vertical="center"/>
    </xf>
    <xf numFmtId="0" fontId="12" fillId="4" borderId="1" xfId="0" applyFont="1" applyFill="1" applyBorder="1" applyAlignment="1">
      <alignment horizontal="center"/>
    </xf>
    <xf numFmtId="0" fontId="25" fillId="4" borderId="5" xfId="4" applyFont="1" applyFill="1" applyBorder="1" applyAlignment="1">
      <alignment horizontal="center" wrapText="1"/>
    </xf>
    <xf numFmtId="0" fontId="25" fillId="4" borderId="22" xfId="4" applyFont="1" applyFill="1" applyBorder="1" applyAlignment="1">
      <alignment horizontal="center" wrapText="1"/>
    </xf>
    <xf numFmtId="0" fontId="25" fillId="4" borderId="14" xfId="3" applyFont="1" applyFill="1" applyBorder="1" applyAlignment="1">
      <alignment horizontal="left" vertical="center"/>
    </xf>
    <xf numFmtId="0" fontId="25" fillId="4" borderId="15" xfId="3" applyFont="1" applyFill="1" applyBorder="1" applyAlignment="1">
      <alignment horizontal="left" vertical="center"/>
    </xf>
    <xf numFmtId="0" fontId="21" fillId="0" borderId="0" xfId="0" applyFont="1" applyAlignment="1">
      <alignment horizontal="center" vertical="center" wrapText="1"/>
    </xf>
    <xf numFmtId="0" fontId="35" fillId="0" borderId="12" xfId="0" applyFont="1" applyBorder="1" applyAlignment="1">
      <alignment vertical="center"/>
    </xf>
    <xf numFmtId="0" fontId="35" fillId="0" borderId="25" xfId="0" applyFont="1" applyBorder="1" applyAlignment="1">
      <alignment vertical="center"/>
    </xf>
    <xf numFmtId="0" fontId="1" fillId="0" borderId="12" xfId="1" applyBorder="1" applyAlignment="1">
      <alignment vertical="center"/>
    </xf>
    <xf numFmtId="0" fontId="1" fillId="0" borderId="25" xfId="1" applyBorder="1" applyAlignment="1">
      <alignment vertical="center"/>
    </xf>
    <xf numFmtId="0" fontId="35" fillId="0" borderId="12" xfId="0" applyFont="1" applyBorder="1" applyAlignment="1">
      <alignment vertical="center" wrapText="1"/>
    </xf>
    <xf numFmtId="0" fontId="35" fillId="0" borderId="25" xfId="0" applyFont="1" applyBorder="1" applyAlignment="1">
      <alignment vertical="center" wrapText="1"/>
    </xf>
    <xf numFmtId="0" fontId="35" fillId="0" borderId="26" xfId="0" applyFont="1" applyBorder="1" applyAlignment="1">
      <alignment vertical="center"/>
    </xf>
    <xf numFmtId="0" fontId="1" fillId="0" borderId="12" xfId="1" applyBorder="1" applyAlignment="1">
      <alignment vertical="center" wrapText="1"/>
    </xf>
    <xf numFmtId="0" fontId="1" fillId="0" borderId="25" xfId="1" applyBorder="1" applyAlignment="1">
      <alignment vertical="center" wrapText="1"/>
    </xf>
    <xf numFmtId="0" fontId="32" fillId="0" borderId="11" xfId="0" applyFont="1" applyBorder="1" applyAlignment="1">
      <alignment horizontal="left" vertical="top" wrapText="1"/>
    </xf>
    <xf numFmtId="0" fontId="0" fillId="0" borderId="11" xfId="0" applyBorder="1" applyAlignment="1">
      <alignment horizontal="left" vertical="top"/>
    </xf>
    <xf numFmtId="0" fontId="34" fillId="0" borderId="12" xfId="0" applyFont="1" applyBorder="1" applyAlignment="1">
      <alignment vertical="center" wrapText="1"/>
    </xf>
    <xf numFmtId="0" fontId="34" fillId="0" borderId="25" xfId="0" applyFont="1" applyBorder="1" applyAlignment="1">
      <alignment vertical="center" wrapText="1"/>
    </xf>
    <xf numFmtId="0" fontId="34" fillId="0" borderId="26" xfId="0" applyFont="1" applyBorder="1" applyAlignment="1">
      <alignment vertical="center" wrapText="1"/>
    </xf>
    <xf numFmtId="0" fontId="1" fillId="0" borderId="26" xfId="1" applyBorder="1" applyAlignment="1">
      <alignment vertical="center" wrapText="1"/>
    </xf>
    <xf numFmtId="0" fontId="25" fillId="4" borderId="4" xfId="4" applyFont="1" applyFill="1" applyBorder="1" applyAlignment="1">
      <alignment horizontal="center" vertical="center" wrapText="1"/>
    </xf>
    <xf numFmtId="0" fontId="25" fillId="4" borderId="0" xfId="4" applyFont="1" applyFill="1" applyAlignment="1">
      <alignment horizontal="center" vertical="center" wrapText="1"/>
    </xf>
    <xf numFmtId="0" fontId="0" fillId="13" borderId="22" xfId="0" applyFill="1" applyBorder="1" applyAlignment="1">
      <alignment horizontal="center" vertical="center" wrapText="1"/>
    </xf>
    <xf numFmtId="0" fontId="0" fillId="0" borderId="1" xfId="0" applyBorder="1" applyAlignment="1">
      <alignment horizontal="center" vertical="center" wrapText="1"/>
    </xf>
    <xf numFmtId="0" fontId="35" fillId="12" borderId="12" xfId="0" applyFont="1" applyFill="1" applyBorder="1" applyAlignment="1">
      <alignment vertical="center"/>
    </xf>
    <xf numFmtId="0" fontId="35" fillId="12" borderId="25" xfId="0" applyFont="1" applyFill="1" applyBorder="1" applyAlignment="1">
      <alignment vertical="center"/>
    </xf>
    <xf numFmtId="0" fontId="35" fillId="12" borderId="12" xfId="0" applyFont="1" applyFill="1" applyBorder="1" applyAlignment="1">
      <alignment vertical="center" wrapText="1"/>
    </xf>
    <xf numFmtId="0" fontId="35" fillId="12" borderId="25" xfId="0" applyFont="1" applyFill="1" applyBorder="1" applyAlignment="1">
      <alignment vertical="center" wrapText="1"/>
    </xf>
    <xf numFmtId="0" fontId="35" fillId="12" borderId="26" xfId="0" applyFont="1" applyFill="1" applyBorder="1" applyAlignment="1">
      <alignment vertical="center"/>
    </xf>
    <xf numFmtId="0" fontId="35" fillId="12" borderId="26" xfId="0" applyFont="1" applyFill="1" applyBorder="1" applyAlignment="1">
      <alignment vertical="center" wrapText="1"/>
    </xf>
    <xf numFmtId="0" fontId="21" fillId="0" borderId="14" xfId="0" applyFont="1" applyBorder="1" applyAlignment="1">
      <alignment horizontal="left"/>
    </xf>
    <xf numFmtId="0" fontId="21" fillId="0" borderId="15" xfId="0" applyFont="1" applyBorder="1" applyAlignment="1">
      <alignment horizontal="left"/>
    </xf>
    <xf numFmtId="0" fontId="21" fillId="0" borderId="29" xfId="0" applyFont="1" applyBorder="1" applyAlignment="1">
      <alignment horizontal="left"/>
    </xf>
    <xf numFmtId="0" fontId="25" fillId="4" borderId="14" xfId="4" applyFont="1" applyFill="1" applyBorder="1" applyAlignment="1">
      <alignment horizontal="center" wrapText="1"/>
    </xf>
    <xf numFmtId="0" fontId="25" fillId="4" borderId="15" xfId="4" applyFont="1" applyFill="1" applyBorder="1" applyAlignment="1">
      <alignment horizontal="center" wrapText="1"/>
    </xf>
    <xf numFmtId="0" fontId="21" fillId="0" borderId="0" xfId="0" applyFont="1" applyAlignment="1">
      <alignment horizontal="left" vertical="top" wrapText="1"/>
    </xf>
    <xf numFmtId="0" fontId="0" fillId="0" borderId="16"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4" fillId="4" borderId="16" xfId="0" applyFont="1" applyFill="1" applyBorder="1" applyAlignment="1">
      <alignment horizontal="center" vertical="center" wrapText="1"/>
    </xf>
    <xf numFmtId="0" fontId="2" fillId="0" borderId="30" xfId="0" applyFont="1" applyBorder="1" applyAlignment="1">
      <alignment horizontal="left" vertical="top" wrapText="1"/>
    </xf>
    <xf numFmtId="0" fontId="13" fillId="0" borderId="31" xfId="1" applyFont="1" applyBorder="1" applyAlignment="1">
      <alignment horizontal="left" vertical="top" wrapText="1"/>
    </xf>
    <xf numFmtId="0" fontId="15" fillId="0" borderId="32" xfId="0" applyFont="1" applyBorder="1" applyAlignment="1">
      <alignment horizontal="left" vertical="top" wrapText="1"/>
    </xf>
    <xf numFmtId="0" fontId="13" fillId="0" borderId="33" xfId="1" applyFont="1" applyBorder="1" applyAlignment="1">
      <alignment horizontal="left" vertical="top" wrapText="1"/>
    </xf>
    <xf numFmtId="0" fontId="2" fillId="0" borderId="32" xfId="0" applyFont="1" applyBorder="1" applyAlignment="1">
      <alignment horizontal="left" vertical="top" wrapText="1"/>
    </xf>
    <xf numFmtId="0" fontId="1" fillId="0" borderId="33" xfId="1" applyBorder="1"/>
    <xf numFmtId="0" fontId="13" fillId="0" borderId="33" xfId="1" applyFont="1" applyBorder="1"/>
    <xf numFmtId="0" fontId="1" fillId="0" borderId="33" xfId="1" applyBorder="1" applyAlignment="1">
      <alignment wrapText="1"/>
    </xf>
    <xf numFmtId="0" fontId="2" fillId="0" borderId="34" xfId="0" applyFont="1" applyBorder="1" applyAlignment="1">
      <alignment horizontal="left" vertical="top" wrapText="1"/>
    </xf>
    <xf numFmtId="0" fontId="1" fillId="0" borderId="35" xfId="1" applyBorder="1"/>
  </cellXfs>
  <cellStyles count="6">
    <cellStyle name="Hyperlink" xfId="1" builtinId="8"/>
    <cellStyle name="Normal" xfId="0" builtinId="0"/>
    <cellStyle name="Normal 2" xfId="4" xr:uid="{B4E4ED96-BA79-4089-9E35-B1FC2E581F53}"/>
    <cellStyle name="Normal 21 2" xfId="5" xr:uid="{9DBF3AF0-3AC6-4B4B-B174-571A0B86B914}"/>
    <cellStyle name="Normal 3" xfId="2" xr:uid="{0EDBC2A5-0B0F-453D-BDD2-029EFE61C6B8}"/>
    <cellStyle name="Normal 3 3" xfId="3" xr:uid="{A602AA9D-6757-40BF-9688-7B9B344A77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theme" Target="theme/theme1.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20" Type="http://schemas.openxmlformats.org/officeDocument/2006/relationships/externalLink" Target="externalLinks/externalLink8.xml"/><Relationship Id="rId4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gnizantonline-my.sharepoint.com/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ognizantonline-my.sharepoint.com/Documents%20and%20Settings/106056/Local%20Settings/Temporary%20Internet%20Files/Content.Outlook/HQFM9OLK/Skills%20Directory_CTS_05112012_Working%20Sheet_Technology%20xls_1%2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gnizantonline-my.sharepoint.com/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Documents%20and%20Settings\nosiu\mig\doc\Serverlis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cognizantonline.sharepoint.com/Ahalya%20E/Ahalya/HC_Projects/2012/CTS/WIP/Technical%20Skills/SMG/EPS%205_SMG_Skill%20Directory_CTS_0110201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cognizantonline-my.sharepoint.com/Ahalya%20E/Ahalya/HC_Projects/2012/CTS/WIP/Technical%20Skills/SMG/EPS%205_SMG_Skill%20Directory_CTS_0110201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Divya-Jagadesh/Local%20Settings/Temporary%20Internet%20Files/OLKD/Technology%20Testing_CTS_Skill%20Directory_1810201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cognizantonline-my.sharepoint.com/Documents%20and%20Settings/Divya-Jagadesh/Local%20Settings/Temporary%20Internet%20Files/OLKD/Technology%20Testing_CTS_Skill%20Directory_18102012.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sheetData sheetId="5"/>
      <sheetData sheetId="6"/>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list"/>
      <sheetName val="Server HW Details"/>
      <sheetName val="Design Estimation"/>
      <sheetName val="Master Project list from PMO"/>
      <sheetName val="Roles"/>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cognizant.udemy.com/course/learn-docker/" TargetMode="External"/><Relationship Id="rId3" Type="http://schemas.openxmlformats.org/officeDocument/2006/relationships/hyperlink" Target="https://cognizant.udemy.com/course/aws-foundations-amazon-s3-mastery-bootcamp/" TargetMode="External"/><Relationship Id="rId7" Type="http://schemas.openxmlformats.org/officeDocument/2006/relationships/hyperlink" Target="https://cognizant.udemy.com/course/awsbestpractices/" TargetMode="External"/><Relationship Id="rId12" Type="http://schemas.openxmlformats.org/officeDocument/2006/relationships/printerSettings" Target="../printerSettings/printerSettings3.bin"/><Relationship Id="rId2" Type="http://schemas.openxmlformats.org/officeDocument/2006/relationships/hyperlink" Target="https://cognizant.udemy.com/course/aws-essentials-hands-on-learning/" TargetMode="External"/><Relationship Id="rId1" Type="http://schemas.openxmlformats.org/officeDocument/2006/relationships/hyperlink" Target="https://cognizant.udemy.com/course/introduction-to-cloud-computing-on-amazon-aws-for-beginners/learn/lecture/42522032" TargetMode="External"/><Relationship Id="rId6" Type="http://schemas.openxmlformats.org/officeDocument/2006/relationships/hyperlink" Target="https://cognizant.udemy.com/course/valaxy-linux/" TargetMode="External"/><Relationship Id="rId11" Type="http://schemas.openxmlformats.org/officeDocument/2006/relationships/hyperlink" Target="https://cognizant.udemy.com/course/ultimate-aws-finops-cloud-cost-management-masterclass/" TargetMode="External"/><Relationship Id="rId5" Type="http://schemas.openxmlformats.org/officeDocument/2006/relationships/hyperlink" Target="https://cognizant.udemy.com/course/bash-scripting/" TargetMode="External"/><Relationship Id="rId10" Type="http://schemas.openxmlformats.org/officeDocument/2006/relationships/hyperlink" Target="https://cognizant.udemy.com/course/learn-ansible/" TargetMode="External"/><Relationship Id="rId4" Type="http://schemas.openxmlformats.org/officeDocument/2006/relationships/hyperlink" Target="https://cognizant.udemy.com/course/networking-in-aws/" TargetMode="External"/><Relationship Id="rId9" Type="http://schemas.openxmlformats.org/officeDocument/2006/relationships/hyperlink" Target="https://cognizant.udemy.com/course/learn-kubernete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cognizant.udemy.com/course/git-complete/" TargetMode="External"/><Relationship Id="rId3" Type="http://schemas.openxmlformats.org/officeDocument/2006/relationships/hyperlink" Target="https://cognizant.udemy.com/course/valaxy-linux/" TargetMode="External"/><Relationship Id="rId7" Type="http://schemas.openxmlformats.org/officeDocument/2006/relationships/hyperlink" Target="https://cognizantlearning.sumtotal.host/rcore/c/pillarRedirect?relyingParty=LM&amp;url=app%2fmanagement%2fLMS_ActDetails.aspx%3fActivityId%3d1446399%26UserMode%3d0" TargetMode="External"/><Relationship Id="rId2" Type="http://schemas.openxmlformats.org/officeDocument/2006/relationships/hyperlink" Target="https://cognizant.udemy.com/course/networking-in-aws/" TargetMode="External"/><Relationship Id="rId1" Type="http://schemas.openxmlformats.org/officeDocument/2006/relationships/hyperlink" Target="https://cognizant.udemy.com/course/aws-ec2-masterclass/" TargetMode="External"/><Relationship Id="rId6" Type="http://schemas.openxmlformats.org/officeDocument/2006/relationships/hyperlink" Target="https://cognizant.udemy.com/course/learn-devops-infrastructure-automation-with-terraform/" TargetMode="External"/><Relationship Id="rId11" Type="http://schemas.openxmlformats.org/officeDocument/2006/relationships/hyperlink" Target="https://cognizant.udemy.com/course/linux-bash-shell-scripting-through-real-life-examples/" TargetMode="External"/><Relationship Id="rId5" Type="http://schemas.openxmlformats.org/officeDocument/2006/relationships/hyperlink" Target="https://cognizant.udemy.com/course/aws-cloud-development-kit-from-beginner-to-professional/" TargetMode="External"/><Relationship Id="rId10" Type="http://schemas.openxmlformats.org/officeDocument/2006/relationships/hyperlink" Target="https://cognizant.udemy.com/course/learn-kubernetes/" TargetMode="External"/><Relationship Id="rId4" Type="http://schemas.openxmlformats.org/officeDocument/2006/relationships/hyperlink" Target="https://cognizant.udemy.com/course/aws-identity-access-management-practical-applications/" TargetMode="External"/><Relationship Id="rId9" Type="http://schemas.openxmlformats.org/officeDocument/2006/relationships/hyperlink" Target="https://cognizant.udemy.com/course/learn-docker/"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cognizantlearning.sumtotal.host/rcore/c/pillarRedirect?isDeepLink=1&amp;relyingParty=LM&amp;url=https%3A%2F%2FCOGNIZANTLEARNING.sumtotal.host%2Flearning%2Fcore%2Factivitydetails%2FViewActivityDetails%3FUserMode%3D0%26ActivityId%3D2048054%26ClassUnderStruct%3DFalse%26CallerUrl%3D%2Flearning%2Flearner%2FHome%2FGoToPortal%3Fkey%3D0%26SearchCallerURL%3Dhttps%253A%252F%252FCOGNIZANTLEARNING.sumtotal.host%252Fcore%252FsearchRedirect%253FViewType%253DList%2526SearchText%253DELRNG01863%2526startRow%253D0%26SearchCallerID%3D2" TargetMode="External"/><Relationship Id="rId7" Type="http://schemas.openxmlformats.org/officeDocument/2006/relationships/hyperlink" Target="https://cognizantlearning.sumtotal.host/rcore/c/pillarRedirect?isDeepLink=1&amp;relyingParty=LM&amp;url=https%3A%2F%2FCOGNIZANTLEARNING.sumtotal.host%2Flearning%2Fcore%2Factivitydetails%2FViewActivityDetails%3FUserMode%3D0%26ActivityId%3D2123188%26ClassUnderStruct%3DFalse%26CallerUrl%3D%2Flearning%2Flearner%2FHome%2FGoToPortal%3Fkey%3D0%26SearchCallerURL%3Dhttps%253A%252F%252FCOGNIZANTLEARNING.sumtotal.host%252Fcore%252FsearchRedirect%253FViewType%253DList%2526SearchText%253DELRNG02089%2526startRow%253D0%26SearchCallerID%3D2" TargetMode="External"/><Relationship Id="rId2" Type="http://schemas.openxmlformats.org/officeDocument/2006/relationships/hyperlink" Target="https://cognizantlearning.sumtotal.host/rcore/c/pillarRedirect?relyingParty=LM&amp;url=app%2fmanagement%2fLMS_ActDetails.aspx%3fActivityId%3d2078284%26UserMode%3d0" TargetMode="External"/><Relationship Id="rId1" Type="http://schemas.openxmlformats.org/officeDocument/2006/relationships/hyperlink" Target="https://cognizantlearning.sumtotal.host/rcore/c/pillarRedirect?relyingParty=LM&amp;url=app%2fmanagement%2fLMS_ActDetails.aspx%3fActivityId%3d2013304%26UserMode%3d0" TargetMode="External"/><Relationship Id="rId6" Type="http://schemas.openxmlformats.org/officeDocument/2006/relationships/hyperlink" Target="https://cognizantlearning.sumtotal.host/rcore/c/pillarRedirect?isDeepLink=1&amp;relyingParty=LM&amp;url=https%3A%2F%2FCOGNIZANTLEARNING.sumtotal.host%2Flearning%2Fcore%2Factivitydetails%2FViewActivityDetails%3FUserMode%3D0%26ActivityId%3D2216335%26ClassUnderStruct%3DFalse%26CallerUrl%3D%2Flearning%2Flearner%2FHome%2FGoToPortal%3Fkey%3D0%26SearchCallerURL%3Dhttps%253A%252F%252FCOGNIZANTLEARNING.sumtotal.host%252Fcore%252FsearchRedirect%253FViewType%253DList%2526SearchText%253DELRNG02344%2526startRow%253D0%26SearchCallerID%3D2" TargetMode="External"/><Relationship Id="rId5" Type="http://schemas.openxmlformats.org/officeDocument/2006/relationships/hyperlink" Target="https://cognizantlearning.sumtotal.host/rcore/c/pillarRedirect?isDeepLink=1&amp;relyingParty=LM&amp;url=https%3A%2F%2FCOGNIZANTLEARNING.sumtotal.host%2Flearning%2Fcore%2Factivitydetails%2FViewActivityDetails%3FUserMode%3D0%26ActivityId%3D2048054%26ClassUnderStruct%3DFalse%26CallerUrl%3D%2Flearning%2Flearner%2FHome%2FGoToPortal%3Fkey%3D0%26SearchCallerURL%3Dhttps%253A%252F%252FCOGNIZANTLEARNING.sumtotal.host%252Fcore%252FsearchRedirect%253FViewType%253DList%2526SearchText%253DELRNG01863%2526startRow%253D0%26SearchCallerID%3D2" TargetMode="External"/><Relationship Id="rId4" Type="http://schemas.openxmlformats.org/officeDocument/2006/relationships/hyperlink" Target="https://cognizantlearning.sumtotal.host/rcore/c/pillarRedirect?isDeepLink=1&amp;relyingParty=LM&amp;url=https%3A%2F%2FCOGNIZANTLEARNING.sumtotal.host%2Flearning%2Fcore%2Factivitydetails%2FViewActivityDetails%3FUserMode%3D0%26ActivityId%3D2068119%26ClassUnderStruct%3DFalse%26CallerUrl%3D%2Flearning%2Flearner%2FHome%2FGoToPortal%3Fkey%3D0%26SearchCallerURL%3Dhttps%253A%252F%252FCOGNIZANTLEARNING.sumtotal.host%252Fcore%252FsearchRedirect%253FViewType%253DList%2526SearchText%253DATHDW335105%2526startRow%253D0%26SearchCallerID%3D2"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cognizant.udemy.com/course/itsm-processes-applied-in-servicenow-from-0-to-hero/" TargetMode="External"/><Relationship Id="rId1" Type="http://schemas.openxmlformats.org/officeDocument/2006/relationships/hyperlink" Target="https://cognizant.udemy.com/course/itil-4-foundation-exam-prep-updated-20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b:/r/sites/GTP-Solutions/Gencsharepath/Shared%20Documents/Internship%202025/Gen%20AI_UseCasesForAllTracks/GitHub%20Copilot%20Usage%20Guidelines.pdf?csf=1&amp;web=1&amp;e=c2Uq5E" TargetMode="External"/><Relationship Id="rId3" Type="http://schemas.openxmlformats.org/officeDocument/2006/relationships/hyperlink" Target="https://cognizant.udemy.com/course/github-copilot-the-complete-guide/" TargetMode="External"/><Relationship Id="rId7" Type="http://schemas.openxmlformats.org/officeDocument/2006/relationships/hyperlink" Target="../../../../:f:/r/sites/GTP-Solutions/Gencsharepath/Shared%20Documents/Internship%202025/Gen%20AI_UseCasesForAllTracks/Core%20Use%20Cases?csf=1&amp;web=1&amp;e=ayjWhK" TargetMode="External"/><Relationship Id="rId2" Type="http://schemas.openxmlformats.org/officeDocument/2006/relationships/hyperlink" Target="https://cognizant.udemy.com/course/github-copilot-for-beginners-ai-coding-crash-course/" TargetMode="External"/><Relationship Id="rId1" Type="http://schemas.openxmlformats.org/officeDocument/2006/relationships/hyperlink" Target="https://learn.microsoft.com/en-us/training/modules/introduction-to-github-copilot/" TargetMode="External"/><Relationship Id="rId6" Type="http://schemas.openxmlformats.org/officeDocument/2006/relationships/hyperlink" Target="https://patterns.hattori.dev/general/object-generation-from-structured-data/" TargetMode="External"/><Relationship Id="rId5" Type="http://schemas.openxmlformats.org/officeDocument/2006/relationships/hyperlink" Target="https://docs.github.com/en/copilot/tutorials/copilot-chat-cookbook" TargetMode="External"/><Relationship Id="rId4" Type="http://schemas.openxmlformats.org/officeDocument/2006/relationships/hyperlink" Target="https://github.com/features/copilot/tutorial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onecognizant.cognizant.com/SAMLSSO/AuthServices/SignIn?ReturnUrl=%2FHome%3FGlobalAppID%3D1738%26URL%3Dhttps%3A%2F%2Fonecognizantazrapps.cognizant.com%2F1738%2FMLSApp%2FPathway%2Fviewpathway%3Fpage%3D910583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CD860-7B44-493A-8DEF-7AA902DE9564}">
  <sheetPr>
    <tabColor rgb="FF92D050"/>
  </sheetPr>
  <dimension ref="A1:E25"/>
  <sheetViews>
    <sheetView workbookViewId="0">
      <selection activeCell="C5" sqref="C5"/>
    </sheetView>
  </sheetViews>
  <sheetFormatPr defaultRowHeight="14.5" x14ac:dyDescent="0.35"/>
  <cols>
    <col min="1" max="1" width="8.7265625" style="8"/>
    <col min="2" max="2" width="47.7265625" style="9" customWidth="1"/>
    <col min="3" max="3" width="52.54296875" customWidth="1"/>
    <col min="4" max="4" width="23.1796875" style="10" customWidth="1"/>
    <col min="5" max="5" width="33.1796875" style="8" customWidth="1"/>
  </cols>
  <sheetData>
    <row r="1" spans="1:5" s="2" customFormat="1" ht="37.5" customHeight="1" x14ac:dyDescent="0.35">
      <c r="A1" s="1" t="s">
        <v>0</v>
      </c>
      <c r="B1" s="1" t="s">
        <v>1</v>
      </c>
      <c r="C1" s="1" t="s">
        <v>2</v>
      </c>
      <c r="D1" s="1" t="s">
        <v>3</v>
      </c>
      <c r="E1" s="1" t="s">
        <v>4</v>
      </c>
    </row>
    <row r="2" spans="1:5" ht="39.65" customHeight="1" x14ac:dyDescent="0.35">
      <c r="A2" s="139">
        <v>1</v>
      </c>
      <c r="B2" s="142" t="s">
        <v>5</v>
      </c>
      <c r="C2" s="3" t="s">
        <v>6</v>
      </c>
      <c r="D2" s="4" t="s">
        <v>7</v>
      </c>
      <c r="E2" s="143" t="s">
        <v>8</v>
      </c>
    </row>
    <row r="3" spans="1:5" ht="39.5" x14ac:dyDescent="0.35">
      <c r="A3" s="140"/>
      <c r="B3" s="142"/>
      <c r="C3" s="3" t="s">
        <v>9</v>
      </c>
      <c r="D3" s="4" t="s">
        <v>7</v>
      </c>
      <c r="E3" s="143"/>
    </row>
    <row r="4" spans="1:5" ht="39.5" x14ac:dyDescent="0.35">
      <c r="A4" s="140"/>
      <c r="B4" s="142"/>
      <c r="C4" s="3" t="s">
        <v>10</v>
      </c>
      <c r="D4" s="4" t="s">
        <v>7</v>
      </c>
      <c r="E4" s="143"/>
    </row>
    <row r="5" spans="1:5" ht="39.5" x14ac:dyDescent="0.35">
      <c r="A5" s="141"/>
      <c r="B5" s="142"/>
      <c r="C5" s="3" t="s">
        <v>11</v>
      </c>
      <c r="D5" s="4" t="s">
        <v>7</v>
      </c>
      <c r="E5" s="143"/>
    </row>
    <row r="6" spans="1:5" ht="52.5" x14ac:dyDescent="0.35">
      <c r="A6" s="139">
        <v>2</v>
      </c>
      <c r="B6" s="142" t="s">
        <v>12</v>
      </c>
      <c r="C6" s="3" t="s">
        <v>13</v>
      </c>
      <c r="D6" s="4" t="s">
        <v>7</v>
      </c>
      <c r="E6" s="143" t="s">
        <v>14</v>
      </c>
    </row>
    <row r="7" spans="1:5" ht="26.5" x14ac:dyDescent="0.35">
      <c r="A7" s="140"/>
      <c r="B7" s="142"/>
      <c r="C7" s="3" t="s">
        <v>15</v>
      </c>
      <c r="D7" s="4" t="s">
        <v>7</v>
      </c>
      <c r="E7" s="143"/>
    </row>
    <row r="8" spans="1:5" ht="26.5" x14ac:dyDescent="0.35">
      <c r="A8" s="140"/>
      <c r="B8" s="142"/>
      <c r="C8" s="3" t="s">
        <v>16</v>
      </c>
      <c r="D8" s="4" t="s">
        <v>7</v>
      </c>
      <c r="E8" s="143"/>
    </row>
    <row r="9" spans="1:5" ht="39.5" x14ac:dyDescent="0.35">
      <c r="A9" s="140"/>
      <c r="B9" s="142"/>
      <c r="C9" s="3" t="s">
        <v>17</v>
      </c>
      <c r="D9" s="4" t="s">
        <v>7</v>
      </c>
      <c r="E9" s="143"/>
    </row>
    <row r="10" spans="1:5" ht="26.5" x14ac:dyDescent="0.35">
      <c r="A10" s="140"/>
      <c r="B10" s="142"/>
      <c r="C10" s="3" t="s">
        <v>18</v>
      </c>
      <c r="D10" s="4" t="s">
        <v>7</v>
      </c>
      <c r="E10" s="143"/>
    </row>
    <row r="11" spans="1:5" ht="26.5" x14ac:dyDescent="0.35">
      <c r="A11" s="141"/>
      <c r="B11" s="142"/>
      <c r="C11" s="3" t="s">
        <v>19</v>
      </c>
      <c r="D11" s="4" t="s">
        <v>7</v>
      </c>
      <c r="E11" s="143"/>
    </row>
    <row r="12" spans="1:5" ht="26.5" x14ac:dyDescent="0.35">
      <c r="A12" s="24">
        <v>3</v>
      </c>
      <c r="B12" s="22" t="s">
        <v>20</v>
      </c>
      <c r="C12" s="3" t="s">
        <v>21</v>
      </c>
      <c r="D12" s="4" t="s">
        <v>7</v>
      </c>
      <c r="E12" s="23" t="s">
        <v>22</v>
      </c>
    </row>
    <row r="13" spans="1:5" ht="26.5" x14ac:dyDescent="0.35">
      <c r="A13" s="144">
        <v>4</v>
      </c>
      <c r="B13" s="142" t="s">
        <v>23</v>
      </c>
      <c r="C13" s="3" t="s">
        <v>24</v>
      </c>
      <c r="D13" s="4" t="s">
        <v>7</v>
      </c>
      <c r="E13" s="143" t="s">
        <v>25</v>
      </c>
    </row>
    <row r="14" spans="1:5" ht="39.5" x14ac:dyDescent="0.35">
      <c r="A14" s="144"/>
      <c r="B14" s="142"/>
      <c r="C14" s="3" t="s">
        <v>26</v>
      </c>
      <c r="D14" s="4" t="s">
        <v>7</v>
      </c>
      <c r="E14" s="143"/>
    </row>
    <row r="15" spans="1:5" ht="26.5" x14ac:dyDescent="0.35">
      <c r="A15" s="144"/>
      <c r="B15" s="142"/>
      <c r="C15" s="3" t="s">
        <v>27</v>
      </c>
      <c r="D15" s="4" t="s">
        <v>7</v>
      </c>
      <c r="E15" s="143"/>
    </row>
    <row r="16" spans="1:5" ht="26.5" x14ac:dyDescent="0.35">
      <c r="A16" s="144"/>
      <c r="B16" s="142"/>
      <c r="C16" s="3" t="s">
        <v>28</v>
      </c>
      <c r="D16" s="4" t="s">
        <v>7</v>
      </c>
      <c r="E16" s="143"/>
    </row>
    <row r="17" spans="1:5" ht="52.5" x14ac:dyDescent="0.35">
      <c r="A17" s="144">
        <v>5</v>
      </c>
      <c r="B17" s="145" t="s">
        <v>29</v>
      </c>
      <c r="C17" s="5" t="s">
        <v>30</v>
      </c>
      <c r="D17" s="4" t="s">
        <v>7</v>
      </c>
      <c r="E17" s="143" t="s">
        <v>31</v>
      </c>
    </row>
    <row r="18" spans="1:5" ht="52.5" x14ac:dyDescent="0.35">
      <c r="A18" s="144"/>
      <c r="B18" s="145"/>
      <c r="C18" s="5" t="s">
        <v>32</v>
      </c>
      <c r="D18" s="4" t="s">
        <v>7</v>
      </c>
      <c r="E18" s="143"/>
    </row>
    <row r="19" spans="1:5" ht="26" x14ac:dyDescent="0.35">
      <c r="A19" s="144"/>
      <c r="B19" s="145"/>
      <c r="C19" s="7" t="s">
        <v>33</v>
      </c>
      <c r="D19" s="4" t="s">
        <v>7</v>
      </c>
      <c r="E19" s="143"/>
    </row>
    <row r="20" spans="1:5" ht="52.5" x14ac:dyDescent="0.35">
      <c r="A20" s="144"/>
      <c r="B20" s="145"/>
      <c r="C20" s="5" t="s">
        <v>34</v>
      </c>
      <c r="D20" s="6" t="s">
        <v>7</v>
      </c>
      <c r="E20" s="143"/>
    </row>
    <row r="21" spans="1:5" ht="32.5" customHeight="1" x14ac:dyDescent="0.35">
      <c r="A21" s="28">
        <v>6</v>
      </c>
      <c r="B21" s="22" t="s">
        <v>35</v>
      </c>
      <c r="C21" s="5" t="s">
        <v>36</v>
      </c>
      <c r="D21" s="6" t="s">
        <v>7</v>
      </c>
      <c r="E21" s="27" t="s">
        <v>37</v>
      </c>
    </row>
    <row r="22" spans="1:5" ht="39.5" x14ac:dyDescent="0.35">
      <c r="A22" s="28">
        <v>7</v>
      </c>
      <c r="B22" s="22" t="s">
        <v>38</v>
      </c>
      <c r="C22" s="5" t="s">
        <v>39</v>
      </c>
      <c r="D22" s="6" t="s">
        <v>7</v>
      </c>
      <c r="E22" s="27" t="s">
        <v>40</v>
      </c>
    </row>
    <row r="23" spans="1:5" ht="26.5" x14ac:dyDescent="0.35">
      <c r="A23" s="28">
        <v>8</v>
      </c>
      <c r="B23" s="22" t="s">
        <v>41</v>
      </c>
      <c r="C23" s="5" t="s">
        <v>42</v>
      </c>
      <c r="D23" s="6" t="s">
        <v>7</v>
      </c>
      <c r="E23" s="27" t="s">
        <v>43</v>
      </c>
    </row>
    <row r="24" spans="1:5" ht="39.5" x14ac:dyDescent="0.35">
      <c r="A24" s="28">
        <v>9</v>
      </c>
      <c r="B24" s="22" t="s">
        <v>44</v>
      </c>
      <c r="C24" s="5" t="s">
        <v>45</v>
      </c>
      <c r="D24" s="6" t="s">
        <v>7</v>
      </c>
      <c r="E24" s="27" t="s">
        <v>46</v>
      </c>
    </row>
    <row r="25" spans="1:5" ht="26.5" x14ac:dyDescent="0.35">
      <c r="A25" s="28">
        <v>10</v>
      </c>
      <c r="B25" s="22" t="s">
        <v>47</v>
      </c>
      <c r="C25" s="5" t="s">
        <v>48</v>
      </c>
      <c r="D25" s="6" t="s">
        <v>7</v>
      </c>
      <c r="E25" s="27" t="s">
        <v>49</v>
      </c>
    </row>
  </sheetData>
  <mergeCells count="12">
    <mergeCell ref="A13:A16"/>
    <mergeCell ref="B13:B16"/>
    <mergeCell ref="E13:E16"/>
    <mergeCell ref="A17:A20"/>
    <mergeCell ref="B17:B20"/>
    <mergeCell ref="E17:E20"/>
    <mergeCell ref="A2:A5"/>
    <mergeCell ref="B2:B5"/>
    <mergeCell ref="E2:E5"/>
    <mergeCell ref="A6:A11"/>
    <mergeCell ref="B6:B11"/>
    <mergeCell ref="E6:E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8330-1161-4601-826B-ADBF7AD910C4}">
  <sheetPr>
    <tabColor rgb="FF00B050"/>
  </sheetPr>
  <dimension ref="A1:B15"/>
  <sheetViews>
    <sheetView zoomScale="90" zoomScaleNormal="90" workbookViewId="0">
      <selection activeCell="F7" sqref="F7"/>
    </sheetView>
  </sheetViews>
  <sheetFormatPr defaultColWidth="9.1796875" defaultRowHeight="14.5" x14ac:dyDescent="0.35"/>
  <cols>
    <col min="1" max="1" width="56.54296875" style="9" customWidth="1"/>
    <col min="2" max="2" width="69.81640625" style="45" customWidth="1"/>
    <col min="3" max="16384" width="9.1796875" style="9"/>
  </cols>
  <sheetData>
    <row r="1" spans="1:2" ht="21.5" thickBot="1" x14ac:dyDescent="0.4">
      <c r="A1" s="146" t="s">
        <v>50</v>
      </c>
      <c r="B1" s="147"/>
    </row>
    <row r="2" spans="1:2" x14ac:dyDescent="0.35">
      <c r="A2" s="39" t="s">
        <v>51</v>
      </c>
      <c r="B2" s="40" t="s">
        <v>50</v>
      </c>
    </row>
    <row r="3" spans="1:2" x14ac:dyDescent="0.35">
      <c r="A3" s="41"/>
      <c r="B3" s="42"/>
    </row>
    <row r="4" spans="1:2" x14ac:dyDescent="0.35">
      <c r="A4" s="41" t="s">
        <v>52</v>
      </c>
      <c r="B4" s="42" t="s">
        <v>53</v>
      </c>
    </row>
    <row r="5" spans="1:2" x14ac:dyDescent="0.35">
      <c r="A5" s="41"/>
      <c r="B5" s="42"/>
    </row>
    <row r="6" spans="1:2" x14ac:dyDescent="0.35">
      <c r="A6" s="41" t="s">
        <v>54</v>
      </c>
      <c r="B6" s="42" t="s">
        <v>55</v>
      </c>
    </row>
    <row r="7" spans="1:2" x14ac:dyDescent="0.35">
      <c r="A7" s="41"/>
      <c r="B7" s="42"/>
    </row>
    <row r="8" spans="1:2" x14ac:dyDescent="0.35">
      <c r="A8" s="43" t="s">
        <v>56</v>
      </c>
      <c r="B8" s="148" t="s">
        <v>57</v>
      </c>
    </row>
    <row r="9" spans="1:2" ht="106.5" customHeight="1" x14ac:dyDescent="0.35">
      <c r="A9" s="43"/>
      <c r="B9" s="148"/>
    </row>
    <row r="10" spans="1:2" x14ac:dyDescent="0.35">
      <c r="A10" s="43" t="s">
        <v>58</v>
      </c>
      <c r="B10" s="148" t="s">
        <v>59</v>
      </c>
    </row>
    <row r="11" spans="1:2" x14ac:dyDescent="0.35">
      <c r="A11" s="43"/>
      <c r="B11" s="148"/>
    </row>
    <row r="12" spans="1:2" x14ac:dyDescent="0.35">
      <c r="A12" s="43" t="s">
        <v>60</v>
      </c>
      <c r="B12" s="42" t="s">
        <v>61</v>
      </c>
    </row>
    <row r="13" spans="1:2" x14ac:dyDescent="0.35">
      <c r="A13" s="43"/>
      <c r="B13" s="42"/>
    </row>
    <row r="14" spans="1:2" x14ac:dyDescent="0.35">
      <c r="A14" s="43" t="s">
        <v>62</v>
      </c>
      <c r="B14" s="42" t="s">
        <v>63</v>
      </c>
    </row>
    <row r="15" spans="1:2" ht="15" thickBot="1" x14ac:dyDescent="0.4">
      <c r="A15" s="44"/>
      <c r="B15" s="46"/>
    </row>
  </sheetData>
  <mergeCells count="3">
    <mergeCell ref="A1:B1"/>
    <mergeCell ref="B8:B9"/>
    <mergeCell ref="B10:B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0A909-84F6-4B2E-9012-44284DE630E2}">
  <sheetPr>
    <tabColor rgb="FF00B0F0"/>
  </sheetPr>
  <dimension ref="A1:K35"/>
  <sheetViews>
    <sheetView showGridLines="0" tabSelected="1" zoomScale="60" zoomScaleNormal="60" workbookViewId="0">
      <selection activeCell="C11" sqref="C11"/>
    </sheetView>
  </sheetViews>
  <sheetFormatPr defaultColWidth="9.1796875" defaultRowHeight="15.5" x14ac:dyDescent="0.35"/>
  <cols>
    <col min="1" max="2" width="23.453125" style="69" customWidth="1"/>
    <col min="3" max="3" width="84.81640625" style="64" customWidth="1"/>
    <col min="4" max="4" width="18.7265625" style="69" customWidth="1"/>
    <col min="5" max="7" width="15.81640625" style="69" bestFit="1" customWidth="1"/>
    <col min="8" max="8" width="18.7265625" style="69" customWidth="1"/>
    <col min="9" max="9" width="31.453125" style="69" bestFit="1" customWidth="1"/>
    <col min="10" max="10" width="32.7265625" style="69" bestFit="1" customWidth="1"/>
    <col min="11" max="16384" width="9.1796875" style="64"/>
  </cols>
  <sheetData>
    <row r="1" spans="1:10" s="19" customFormat="1" ht="62" x14ac:dyDescent="0.35">
      <c r="A1" s="106" t="s">
        <v>64</v>
      </c>
      <c r="B1" s="106" t="s">
        <v>65</v>
      </c>
      <c r="C1" s="106" t="s">
        <v>66</v>
      </c>
      <c r="D1" s="106" t="s">
        <v>67</v>
      </c>
      <c r="E1" s="106" t="s">
        <v>68</v>
      </c>
      <c r="F1" s="106" t="s">
        <v>69</v>
      </c>
      <c r="G1" s="106" t="s">
        <v>70</v>
      </c>
      <c r="H1" s="106" t="s">
        <v>71</v>
      </c>
      <c r="I1" s="106" t="s">
        <v>72</v>
      </c>
      <c r="J1" s="106" t="s">
        <v>73</v>
      </c>
    </row>
    <row r="2" spans="1:10" x14ac:dyDescent="0.35">
      <c r="A2" s="53" t="s">
        <v>74</v>
      </c>
      <c r="B2" s="48" t="s">
        <v>75</v>
      </c>
      <c r="C2" s="48" t="s">
        <v>430</v>
      </c>
      <c r="D2" s="53">
        <v>90</v>
      </c>
      <c r="E2" s="150">
        <f>SUM(D2:D5)</f>
        <v>146</v>
      </c>
      <c r="F2" s="151">
        <f>E2/45</f>
        <v>3.2444444444444445</v>
      </c>
      <c r="G2" s="149">
        <f>E2/9</f>
        <v>16.222222222222221</v>
      </c>
      <c r="H2" s="47" t="s">
        <v>76</v>
      </c>
      <c r="I2" s="47" t="s">
        <v>7</v>
      </c>
      <c r="J2" s="47" t="s">
        <v>7</v>
      </c>
    </row>
    <row r="3" spans="1:10" x14ac:dyDescent="0.35">
      <c r="A3" s="53" t="s">
        <v>74</v>
      </c>
      <c r="B3" s="48" t="s">
        <v>77</v>
      </c>
      <c r="C3" s="48" t="s">
        <v>78</v>
      </c>
      <c r="D3" s="53">
        <v>45</v>
      </c>
      <c r="E3" s="150"/>
      <c r="F3" s="151"/>
      <c r="G3" s="149"/>
      <c r="H3" s="47" t="s">
        <v>76</v>
      </c>
      <c r="I3" s="47" t="s">
        <v>7</v>
      </c>
      <c r="J3" s="47" t="s">
        <v>7</v>
      </c>
    </row>
    <row r="4" spans="1:10" x14ac:dyDescent="0.35">
      <c r="A4" s="53" t="s">
        <v>74</v>
      </c>
      <c r="B4" s="47" t="s">
        <v>79</v>
      </c>
      <c r="C4" s="47" t="s">
        <v>80</v>
      </c>
      <c r="D4" s="53">
        <v>2</v>
      </c>
      <c r="E4" s="150"/>
      <c r="F4" s="151"/>
      <c r="G4" s="149"/>
      <c r="H4" s="47" t="s">
        <v>76</v>
      </c>
      <c r="I4" s="47" t="s">
        <v>81</v>
      </c>
      <c r="J4" s="47" t="s">
        <v>81</v>
      </c>
    </row>
    <row r="5" spans="1:10" x14ac:dyDescent="0.35">
      <c r="A5" s="53" t="s">
        <v>74</v>
      </c>
      <c r="B5" s="47" t="s">
        <v>82</v>
      </c>
      <c r="C5" s="47" t="s">
        <v>83</v>
      </c>
      <c r="D5" s="53">
        <v>9</v>
      </c>
      <c r="E5" s="150"/>
      <c r="F5" s="151"/>
      <c r="G5" s="149"/>
      <c r="H5" s="47" t="s">
        <v>84</v>
      </c>
      <c r="I5" s="47" t="s">
        <v>7</v>
      </c>
      <c r="J5" s="47" t="s">
        <v>7</v>
      </c>
    </row>
    <row r="6" spans="1:10" ht="93" x14ac:dyDescent="0.35">
      <c r="A6" s="53" t="s">
        <v>85</v>
      </c>
      <c r="B6" s="48" t="s">
        <v>22</v>
      </c>
      <c r="C6" s="48" t="s">
        <v>86</v>
      </c>
      <c r="D6" s="53">
        <v>62</v>
      </c>
      <c r="E6" s="150">
        <v>448</v>
      </c>
      <c r="F6" s="151">
        <v>8.8000000000000007</v>
      </c>
      <c r="G6" s="149">
        <v>44</v>
      </c>
      <c r="H6" s="47" t="s">
        <v>76</v>
      </c>
      <c r="I6" s="47" t="s">
        <v>7</v>
      </c>
      <c r="J6" s="47" t="s">
        <v>7</v>
      </c>
    </row>
    <row r="7" spans="1:10" x14ac:dyDescent="0.35">
      <c r="A7" s="53" t="s">
        <v>85</v>
      </c>
      <c r="B7" s="48" t="s">
        <v>87</v>
      </c>
      <c r="C7" s="57" t="s">
        <v>88</v>
      </c>
      <c r="D7" s="53">
        <v>90</v>
      </c>
      <c r="E7" s="150"/>
      <c r="F7" s="151"/>
      <c r="G7" s="149"/>
      <c r="H7" s="47" t="s">
        <v>76</v>
      </c>
      <c r="I7" s="47" t="s">
        <v>7</v>
      </c>
      <c r="J7" s="47" t="s">
        <v>7</v>
      </c>
    </row>
    <row r="8" spans="1:10" s="65" customFormat="1" ht="62" x14ac:dyDescent="0.35">
      <c r="A8" s="55" t="s">
        <v>85</v>
      </c>
      <c r="B8" s="57" t="s">
        <v>89</v>
      </c>
      <c r="C8" s="57" t="s">
        <v>90</v>
      </c>
      <c r="D8" s="55">
        <v>55</v>
      </c>
      <c r="E8" s="150"/>
      <c r="F8" s="151"/>
      <c r="G8" s="149"/>
      <c r="H8" s="47" t="s">
        <v>76</v>
      </c>
      <c r="I8" s="47" t="s">
        <v>7</v>
      </c>
      <c r="J8" s="47" t="s">
        <v>7</v>
      </c>
    </row>
    <row r="9" spans="1:10" x14ac:dyDescent="0.35">
      <c r="A9" s="53" t="s">
        <v>85</v>
      </c>
      <c r="B9" s="47" t="s">
        <v>82</v>
      </c>
      <c r="C9" s="47" t="s">
        <v>91</v>
      </c>
      <c r="D9" s="53">
        <v>2</v>
      </c>
      <c r="E9" s="150"/>
      <c r="F9" s="151"/>
      <c r="G9" s="149"/>
      <c r="H9" s="47" t="s">
        <v>84</v>
      </c>
      <c r="I9" s="47" t="s">
        <v>7</v>
      </c>
      <c r="J9" s="47" t="s">
        <v>7</v>
      </c>
    </row>
    <row r="10" spans="1:10" x14ac:dyDescent="0.35">
      <c r="A10" s="53" t="s">
        <v>85</v>
      </c>
      <c r="B10" s="47" t="s">
        <v>82</v>
      </c>
      <c r="C10" s="47" t="s">
        <v>92</v>
      </c>
      <c r="D10" s="53">
        <v>9</v>
      </c>
      <c r="E10" s="150"/>
      <c r="F10" s="151"/>
      <c r="G10" s="149"/>
      <c r="H10" s="47" t="s">
        <v>84</v>
      </c>
      <c r="I10" s="47" t="s">
        <v>7</v>
      </c>
      <c r="J10" s="47" t="s">
        <v>7</v>
      </c>
    </row>
    <row r="11" spans="1:10" ht="46.5" x14ac:dyDescent="0.35">
      <c r="A11" s="53" t="s">
        <v>85</v>
      </c>
      <c r="B11" s="48" t="s">
        <v>93</v>
      </c>
      <c r="C11" s="48" t="s">
        <v>429</v>
      </c>
      <c r="D11" s="53">
        <v>30</v>
      </c>
      <c r="E11" s="150"/>
      <c r="F11" s="151"/>
      <c r="G11" s="149"/>
      <c r="H11" s="47" t="s">
        <v>76</v>
      </c>
      <c r="I11" s="47" t="s">
        <v>7</v>
      </c>
      <c r="J11" s="47" t="s">
        <v>7</v>
      </c>
    </row>
    <row r="12" spans="1:10" ht="62" x14ac:dyDescent="0.35">
      <c r="A12" s="53" t="s">
        <v>85</v>
      </c>
      <c r="B12" s="48" t="s">
        <v>37</v>
      </c>
      <c r="C12" s="48" t="s">
        <v>94</v>
      </c>
      <c r="D12" s="53">
        <v>8</v>
      </c>
      <c r="E12" s="150"/>
      <c r="F12" s="151"/>
      <c r="G12" s="149"/>
      <c r="H12" s="47" t="s">
        <v>76</v>
      </c>
      <c r="I12" s="47" t="s">
        <v>7</v>
      </c>
      <c r="J12" s="47" t="s">
        <v>7</v>
      </c>
    </row>
    <row r="13" spans="1:10" ht="77.5" x14ac:dyDescent="0.35">
      <c r="A13" s="53" t="s">
        <v>85</v>
      </c>
      <c r="B13" s="48" t="s">
        <v>95</v>
      </c>
      <c r="C13" s="48" t="s">
        <v>96</v>
      </c>
      <c r="D13" s="53">
        <v>18</v>
      </c>
      <c r="E13" s="150"/>
      <c r="F13" s="151"/>
      <c r="G13" s="149"/>
      <c r="H13" s="47" t="s">
        <v>76</v>
      </c>
      <c r="I13" s="47" t="s">
        <v>7</v>
      </c>
      <c r="J13" s="47" t="s">
        <v>7</v>
      </c>
    </row>
    <row r="14" spans="1:10" ht="139.5" x14ac:dyDescent="0.35">
      <c r="A14" s="53" t="s">
        <v>85</v>
      </c>
      <c r="B14" s="48" t="s">
        <v>43</v>
      </c>
      <c r="C14" s="48" t="s">
        <v>97</v>
      </c>
      <c r="D14" s="53">
        <v>15</v>
      </c>
      <c r="E14" s="150"/>
      <c r="F14" s="151"/>
      <c r="G14" s="149"/>
      <c r="H14" s="47" t="s">
        <v>76</v>
      </c>
      <c r="I14" s="47" t="s">
        <v>7</v>
      </c>
      <c r="J14" s="47" t="s">
        <v>7</v>
      </c>
    </row>
    <row r="15" spans="1:10" ht="108.5" x14ac:dyDescent="0.35">
      <c r="A15" s="53" t="s">
        <v>85</v>
      </c>
      <c r="B15" s="48" t="s">
        <v>46</v>
      </c>
      <c r="C15" s="48" t="s">
        <v>98</v>
      </c>
      <c r="D15" s="53">
        <v>36</v>
      </c>
      <c r="E15" s="150"/>
      <c r="F15" s="151"/>
      <c r="G15" s="149"/>
      <c r="H15" s="47" t="s">
        <v>76</v>
      </c>
      <c r="I15" s="47" t="s">
        <v>7</v>
      </c>
      <c r="J15" s="47" t="s">
        <v>7</v>
      </c>
    </row>
    <row r="16" spans="1:10" s="66" customFormat="1" x14ac:dyDescent="0.35">
      <c r="A16" s="53" t="s">
        <v>85</v>
      </c>
      <c r="B16" s="108" t="s">
        <v>99</v>
      </c>
      <c r="C16" s="108" t="s">
        <v>99</v>
      </c>
      <c r="D16" s="109">
        <v>18</v>
      </c>
      <c r="E16" s="150"/>
      <c r="F16" s="151"/>
      <c r="G16" s="149"/>
      <c r="H16" s="56" t="s">
        <v>100</v>
      </c>
      <c r="I16" s="57" t="s">
        <v>81</v>
      </c>
      <c r="J16" s="57" t="s">
        <v>81</v>
      </c>
    </row>
    <row r="17" spans="1:11" s="66" customFormat="1" x14ac:dyDescent="0.35">
      <c r="A17" s="53" t="s">
        <v>85</v>
      </c>
      <c r="B17" s="108" t="s">
        <v>101</v>
      </c>
      <c r="C17" s="108" t="s">
        <v>101</v>
      </c>
      <c r="D17" s="109" t="s">
        <v>102</v>
      </c>
      <c r="E17" s="150"/>
      <c r="F17" s="151"/>
      <c r="G17" s="149"/>
      <c r="H17" s="56" t="s">
        <v>103</v>
      </c>
      <c r="I17" s="57" t="s">
        <v>81</v>
      </c>
      <c r="J17" s="57" t="s">
        <v>81</v>
      </c>
    </row>
    <row r="18" spans="1:11" s="63" customFormat="1" x14ac:dyDescent="0.35">
      <c r="A18" s="53" t="s">
        <v>85</v>
      </c>
      <c r="B18" s="57" t="s">
        <v>104</v>
      </c>
      <c r="C18" s="57" t="s">
        <v>105</v>
      </c>
      <c r="D18" s="55">
        <v>6</v>
      </c>
      <c r="E18" s="150"/>
      <c r="F18" s="151"/>
      <c r="G18" s="149"/>
      <c r="H18" s="56" t="s">
        <v>103</v>
      </c>
      <c r="I18" s="57" t="s">
        <v>81</v>
      </c>
      <c r="J18" s="57" t="s">
        <v>81</v>
      </c>
      <c r="K18" s="64"/>
    </row>
    <row r="19" spans="1:11" s="63" customFormat="1" x14ac:dyDescent="0.35">
      <c r="A19" s="53" t="s">
        <v>85</v>
      </c>
      <c r="B19" s="110" t="s">
        <v>106</v>
      </c>
      <c r="C19" s="110" t="s">
        <v>106</v>
      </c>
      <c r="D19" s="111" t="s">
        <v>102</v>
      </c>
      <c r="E19" s="150"/>
      <c r="F19" s="151"/>
      <c r="G19" s="149"/>
      <c r="H19" s="56" t="s">
        <v>103</v>
      </c>
      <c r="I19" s="57" t="s">
        <v>81</v>
      </c>
      <c r="J19" s="57" t="s">
        <v>81</v>
      </c>
    </row>
    <row r="20" spans="1:11" x14ac:dyDescent="0.35">
      <c r="A20" s="53" t="s">
        <v>85</v>
      </c>
      <c r="B20" s="47" t="s">
        <v>82</v>
      </c>
      <c r="C20" s="47" t="s">
        <v>107</v>
      </c>
      <c r="D20" s="53" t="s">
        <v>102</v>
      </c>
      <c r="E20" s="150"/>
      <c r="F20" s="151"/>
      <c r="G20" s="149"/>
      <c r="H20" s="47" t="s">
        <v>84</v>
      </c>
      <c r="I20" s="47" t="s">
        <v>7</v>
      </c>
      <c r="J20" s="47" t="s">
        <v>7</v>
      </c>
    </row>
    <row r="21" spans="1:11" x14ac:dyDescent="0.35">
      <c r="A21" s="53" t="s">
        <v>85</v>
      </c>
      <c r="B21" s="47" t="s">
        <v>82</v>
      </c>
      <c r="C21" s="47" t="s">
        <v>108</v>
      </c>
      <c r="D21" s="53">
        <v>27</v>
      </c>
      <c r="E21" s="150"/>
      <c r="F21" s="151"/>
      <c r="G21" s="149"/>
      <c r="H21" s="47" t="s">
        <v>82</v>
      </c>
      <c r="I21" s="47" t="s">
        <v>81</v>
      </c>
      <c r="J21" s="47" t="s">
        <v>81</v>
      </c>
    </row>
    <row r="22" spans="1:11" x14ac:dyDescent="0.35">
      <c r="A22" s="62" t="s">
        <v>109</v>
      </c>
      <c r="B22" s="29" t="s">
        <v>79</v>
      </c>
      <c r="C22" s="107" t="s">
        <v>110</v>
      </c>
      <c r="D22" s="62">
        <v>39</v>
      </c>
      <c r="E22" s="67"/>
      <c r="F22" s="67"/>
      <c r="G22" s="67"/>
      <c r="H22" s="64"/>
      <c r="I22" s="64"/>
      <c r="J22" s="64"/>
    </row>
    <row r="23" spans="1:11" x14ac:dyDescent="0.35">
      <c r="A23" s="60" t="s">
        <v>85</v>
      </c>
      <c r="B23" s="16" t="s">
        <v>79</v>
      </c>
      <c r="C23" s="61" t="s">
        <v>80</v>
      </c>
      <c r="D23" s="60">
        <v>4</v>
      </c>
      <c r="E23" s="67"/>
      <c r="F23" s="67"/>
      <c r="G23" s="67"/>
      <c r="H23" s="64"/>
      <c r="I23" s="64"/>
      <c r="J23" s="64"/>
    </row>
    <row r="24" spans="1:11" x14ac:dyDescent="0.35">
      <c r="A24" s="152"/>
      <c r="B24" s="154"/>
      <c r="C24" s="68" t="s">
        <v>111</v>
      </c>
      <c r="D24" s="17">
        <f>SUM(D2:D23)</f>
        <v>565</v>
      </c>
      <c r="E24" s="67"/>
      <c r="F24" s="67"/>
      <c r="G24" s="67"/>
      <c r="H24" s="64"/>
      <c r="I24" s="64"/>
      <c r="J24" s="64"/>
    </row>
    <row r="25" spans="1:11" x14ac:dyDescent="0.35">
      <c r="A25" s="152"/>
      <c r="B25" s="154"/>
      <c r="C25" s="68" t="s">
        <v>112</v>
      </c>
      <c r="D25" s="114">
        <f>D24/9</f>
        <v>62.777777777777779</v>
      </c>
      <c r="E25" s="67"/>
      <c r="F25" s="67"/>
      <c r="G25" s="67"/>
      <c r="H25" s="64"/>
      <c r="I25" s="64"/>
      <c r="J25" s="64"/>
    </row>
    <row r="26" spans="1:11" x14ac:dyDescent="0.35">
      <c r="A26" s="153"/>
      <c r="B26" s="155"/>
      <c r="C26" s="68" t="s">
        <v>113</v>
      </c>
      <c r="D26" s="113">
        <f>D25/5</f>
        <v>12.555555555555555</v>
      </c>
      <c r="E26" s="67"/>
      <c r="F26" s="67"/>
      <c r="G26" s="67"/>
      <c r="H26" s="64"/>
      <c r="I26" s="64"/>
      <c r="J26" s="64"/>
    </row>
    <row r="27" spans="1:11" x14ac:dyDescent="0.35">
      <c r="G27" s="67"/>
      <c r="H27" s="64"/>
      <c r="I27" s="64"/>
      <c r="J27" s="64"/>
    </row>
    <row r="28" spans="1:11" x14ac:dyDescent="0.35">
      <c r="G28" s="67"/>
      <c r="H28" s="64"/>
      <c r="I28" s="64"/>
      <c r="J28" s="64"/>
    </row>
    <row r="29" spans="1:11" x14ac:dyDescent="0.35">
      <c r="G29" s="67"/>
      <c r="H29" s="64"/>
      <c r="I29" s="64"/>
      <c r="J29" s="64"/>
    </row>
    <row r="30" spans="1:11" x14ac:dyDescent="0.35">
      <c r="G30" s="67"/>
      <c r="H30" s="64"/>
      <c r="I30" s="64"/>
      <c r="J30" s="64"/>
    </row>
    <row r="31" spans="1:11" x14ac:dyDescent="0.35">
      <c r="G31" s="67"/>
      <c r="H31" s="64"/>
      <c r="I31" s="64"/>
      <c r="J31" s="64"/>
    </row>
    <row r="32" spans="1:11" x14ac:dyDescent="0.35">
      <c r="G32" s="67"/>
      <c r="H32" s="64"/>
      <c r="I32" s="64"/>
      <c r="J32" s="64"/>
    </row>
    <row r="33" spans="7:10" x14ac:dyDescent="0.35">
      <c r="G33" s="67"/>
      <c r="H33" s="64"/>
      <c r="I33" s="64"/>
      <c r="J33" s="64"/>
    </row>
    <row r="34" spans="7:10" x14ac:dyDescent="0.35">
      <c r="G34" s="67"/>
      <c r="H34" s="64"/>
      <c r="I34" s="64"/>
      <c r="J34" s="64"/>
    </row>
    <row r="35" spans="7:10" x14ac:dyDescent="0.35">
      <c r="G35" s="67"/>
      <c r="H35" s="64"/>
      <c r="I35" s="64"/>
      <c r="J35" s="64"/>
    </row>
  </sheetData>
  <mergeCells count="8">
    <mergeCell ref="G2:G5"/>
    <mergeCell ref="E6:E21"/>
    <mergeCell ref="F6:F21"/>
    <mergeCell ref="G6:G21"/>
    <mergeCell ref="A24:A26"/>
    <mergeCell ref="B24:B26"/>
    <mergeCell ref="E2:E5"/>
    <mergeCell ref="F2:F5"/>
  </mergeCells>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821BA-45CC-4DE1-B8F3-488C5D6A1A98}">
  <sheetPr>
    <tabColor rgb="FFFFC000"/>
  </sheetPr>
  <dimension ref="A1:D35"/>
  <sheetViews>
    <sheetView zoomScale="70" zoomScaleNormal="70" workbookViewId="0">
      <selection activeCell="A3" sqref="A3:XFD4"/>
    </sheetView>
  </sheetViews>
  <sheetFormatPr defaultColWidth="8.7265625" defaultRowHeight="12.5" x14ac:dyDescent="0.25"/>
  <cols>
    <col min="1" max="1" width="71.81640625" style="12" customWidth="1"/>
    <col min="2" max="2" width="113" style="12" customWidth="1"/>
    <col min="3" max="3" width="40.7265625" style="12" customWidth="1"/>
    <col min="4" max="16384" width="8.7265625" style="12"/>
  </cols>
  <sheetData>
    <row r="1" spans="1:4" s="71" customFormat="1" ht="14.5" x14ac:dyDescent="0.35">
      <c r="A1" s="157" t="s">
        <v>114</v>
      </c>
      <c r="B1" s="158"/>
      <c r="C1" s="158"/>
      <c r="D1" s="158"/>
    </row>
    <row r="2" spans="1:4" s="71" customFormat="1" ht="14.5" x14ac:dyDescent="0.35">
      <c r="A2" s="159" t="s">
        <v>115</v>
      </c>
      <c r="B2" s="160"/>
      <c r="C2" s="160"/>
      <c r="D2" s="160"/>
    </row>
    <row r="3" spans="1:4" ht="31" x14ac:dyDescent="0.25">
      <c r="A3" s="18" t="s">
        <v>65</v>
      </c>
      <c r="B3" s="18" t="s">
        <v>66</v>
      </c>
      <c r="C3" s="18" t="s">
        <v>116</v>
      </c>
    </row>
    <row r="4" spans="1:4" ht="232.5" x14ac:dyDescent="0.25">
      <c r="A4" s="115" t="s">
        <v>8</v>
      </c>
      <c r="B4" s="115" t="s">
        <v>117</v>
      </c>
      <c r="C4" s="51" t="s">
        <v>118</v>
      </c>
    </row>
    <row r="5" spans="1:4" ht="93" x14ac:dyDescent="0.25">
      <c r="A5" s="52" t="s">
        <v>119</v>
      </c>
      <c r="B5" s="52" t="s">
        <v>120</v>
      </c>
      <c r="C5" s="52" t="s">
        <v>121</v>
      </c>
    </row>
    <row r="23" spans="1:2" ht="13" x14ac:dyDescent="0.3">
      <c r="A23" s="156" t="s">
        <v>122</v>
      </c>
      <c r="B23" s="156"/>
    </row>
    <row r="24" spans="1:2" ht="13" x14ac:dyDescent="0.3">
      <c r="A24" s="11" t="s">
        <v>123</v>
      </c>
      <c r="B24" s="11" t="s">
        <v>124</v>
      </c>
    </row>
    <row r="25" spans="1:2" x14ac:dyDescent="0.25">
      <c r="A25" s="13" t="s">
        <v>125</v>
      </c>
      <c r="B25" s="14" t="s">
        <v>126</v>
      </c>
    </row>
    <row r="26" spans="1:2" x14ac:dyDescent="0.25">
      <c r="A26" s="13" t="s">
        <v>127</v>
      </c>
      <c r="B26" s="14" t="s">
        <v>128</v>
      </c>
    </row>
    <row r="27" spans="1:2" x14ac:dyDescent="0.25">
      <c r="A27" s="13" t="s">
        <v>129</v>
      </c>
      <c r="B27" s="14" t="s">
        <v>130</v>
      </c>
    </row>
    <row r="28" spans="1:2" x14ac:dyDescent="0.25">
      <c r="A28" s="13" t="s">
        <v>131</v>
      </c>
      <c r="B28" s="14" t="s">
        <v>132</v>
      </c>
    </row>
    <row r="29" spans="1:2" x14ac:dyDescent="0.25">
      <c r="A29" s="13" t="s">
        <v>133</v>
      </c>
      <c r="B29" s="14" t="s">
        <v>134</v>
      </c>
    </row>
    <row r="30" spans="1:2" ht="14.5" x14ac:dyDescent="0.35">
      <c r="A30" s="13" t="s">
        <v>135</v>
      </c>
      <c r="B30" s="25" t="s">
        <v>136</v>
      </c>
    </row>
    <row r="31" spans="1:2" ht="14.5" x14ac:dyDescent="0.35">
      <c r="A31" s="13" t="s">
        <v>137</v>
      </c>
      <c r="B31" s="25" t="s">
        <v>138</v>
      </c>
    </row>
    <row r="32" spans="1:2" x14ac:dyDescent="0.25">
      <c r="A32" s="13" t="s">
        <v>139</v>
      </c>
      <c r="B32" s="14" t="s">
        <v>140</v>
      </c>
    </row>
    <row r="33" spans="1:2" x14ac:dyDescent="0.25">
      <c r="A33" s="13" t="s">
        <v>141</v>
      </c>
      <c r="B33" s="14" t="s">
        <v>142</v>
      </c>
    </row>
    <row r="34" spans="1:2" ht="14.5" x14ac:dyDescent="0.35">
      <c r="A34" s="13" t="s">
        <v>143</v>
      </c>
      <c r="B34" s="25" t="s">
        <v>144</v>
      </c>
    </row>
    <row r="35" spans="1:2" ht="14.5" x14ac:dyDescent="0.35">
      <c r="A35" s="13" t="s">
        <v>145</v>
      </c>
      <c r="B35" s="26" t="s">
        <v>146</v>
      </c>
    </row>
  </sheetData>
  <mergeCells count="3">
    <mergeCell ref="A23:B23"/>
    <mergeCell ref="A1:D1"/>
    <mergeCell ref="A2:D2"/>
  </mergeCells>
  <hyperlinks>
    <hyperlink ref="B25" r:id="rId1" location="overview" xr:uid="{595413BA-DF87-4B49-A1DB-039AD7EC1335}"/>
    <hyperlink ref="B26" r:id="rId2" xr:uid="{922E3A8B-A354-430A-AD3B-2DBAA84C112E}"/>
    <hyperlink ref="B28" r:id="rId3" xr:uid="{3D8604E3-3830-46C9-A992-4685342FECDE}"/>
    <hyperlink ref="B29" r:id="rId4" xr:uid="{BDA9E3AB-6AA5-408A-B550-E90ABF1B8BC6}"/>
    <hyperlink ref="B30" r:id="rId5" xr:uid="{88ADBE6C-ACD6-45AB-98B3-29C27F791E69}"/>
    <hyperlink ref="B31" r:id="rId6" xr:uid="{B406BFE8-8CAC-495A-9BD3-07186BF49B9C}"/>
    <hyperlink ref="B27" r:id="rId7" xr:uid="{FB55F0DC-EC45-44CC-ACA0-FEE9C4D24426}"/>
    <hyperlink ref="B32" r:id="rId8" xr:uid="{D09A4B52-0198-48DD-90F5-C3E9EDBCA3B5}"/>
    <hyperlink ref="B33" r:id="rId9" xr:uid="{56E8C8A7-FFEC-4295-AC26-E861FE360AFB}"/>
    <hyperlink ref="B34" r:id="rId10" xr:uid="{3043FB59-6658-4918-ABCA-996FD7C82A2B}"/>
    <hyperlink ref="B35" r:id="rId11" xr:uid="{F9165907-43D1-40D0-8BE7-5E1C232767A4}"/>
  </hyperlinks>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B814-A403-49EC-8B92-E8D3532DC566}">
  <sheetPr>
    <tabColor rgb="FFFFC000"/>
  </sheetPr>
  <dimension ref="A1:D35"/>
  <sheetViews>
    <sheetView zoomScale="70" zoomScaleNormal="70" workbookViewId="0">
      <selection activeCell="A38" sqref="A38"/>
    </sheetView>
  </sheetViews>
  <sheetFormatPr defaultColWidth="8.7265625" defaultRowHeight="12.5" x14ac:dyDescent="0.35"/>
  <cols>
    <col min="1" max="1" width="70.1796875" style="15" bestFit="1" customWidth="1"/>
    <col min="2" max="2" width="91.26953125" style="15" bestFit="1" customWidth="1"/>
    <col min="3" max="3" width="79.26953125" style="15" customWidth="1"/>
    <col min="4" max="16384" width="8.7265625" style="15"/>
  </cols>
  <sheetData>
    <row r="1" spans="1:4" s="71" customFormat="1" ht="14.5" x14ac:dyDescent="0.35">
      <c r="A1" s="157" t="s">
        <v>114</v>
      </c>
      <c r="B1" s="158"/>
      <c r="C1" s="158"/>
      <c r="D1" s="158"/>
    </row>
    <row r="2" spans="1:4" s="71" customFormat="1" ht="14.5" x14ac:dyDescent="0.35">
      <c r="A2" s="159" t="s">
        <v>115</v>
      </c>
      <c r="B2" s="160"/>
      <c r="C2" s="160"/>
      <c r="D2" s="160"/>
    </row>
    <row r="3" spans="1:4" ht="15.5" x14ac:dyDescent="0.35">
      <c r="A3" s="18" t="s">
        <v>65</v>
      </c>
      <c r="B3" s="18" t="s">
        <v>66</v>
      </c>
      <c r="C3" s="18" t="s">
        <v>116</v>
      </c>
    </row>
    <row r="4" spans="1:4" ht="139.5" x14ac:dyDescent="0.35">
      <c r="A4" s="48" t="s">
        <v>22</v>
      </c>
      <c r="B4" s="48" t="s">
        <v>147</v>
      </c>
      <c r="C4" s="116" t="s">
        <v>148</v>
      </c>
    </row>
    <row r="5" spans="1:4" ht="109" thickBot="1" x14ac:dyDescent="0.4">
      <c r="A5" s="115" t="s">
        <v>25</v>
      </c>
      <c r="B5" s="117" t="s">
        <v>149</v>
      </c>
      <c r="C5" s="54" t="s">
        <v>150</v>
      </c>
    </row>
    <row r="6" spans="1:4" ht="62.5" thickBot="1" x14ac:dyDescent="0.4">
      <c r="A6" s="58" t="s">
        <v>89</v>
      </c>
      <c r="B6" s="72" t="s">
        <v>151</v>
      </c>
      <c r="C6" s="59" t="s">
        <v>428</v>
      </c>
    </row>
    <row r="7" spans="1:4" ht="15.5" x14ac:dyDescent="0.35">
      <c r="A7" s="49" t="s">
        <v>82</v>
      </c>
      <c r="B7" s="49" t="s">
        <v>91</v>
      </c>
      <c r="C7" s="50"/>
    </row>
    <row r="8" spans="1:4" ht="15.5" x14ac:dyDescent="0.35">
      <c r="A8" s="47" t="s">
        <v>82</v>
      </c>
      <c r="B8" s="47" t="s">
        <v>92</v>
      </c>
      <c r="C8" s="118"/>
    </row>
    <row r="9" spans="1:4" ht="46.5" x14ac:dyDescent="0.35">
      <c r="A9" s="48" t="s">
        <v>31</v>
      </c>
      <c r="B9" s="48" t="s">
        <v>152</v>
      </c>
      <c r="C9" s="116" t="s">
        <v>153</v>
      </c>
    </row>
    <row r="10" spans="1:4" ht="124" x14ac:dyDescent="0.35">
      <c r="A10" s="48" t="s">
        <v>37</v>
      </c>
      <c r="B10" s="48" t="s">
        <v>154</v>
      </c>
      <c r="C10" s="116" t="s">
        <v>155</v>
      </c>
    </row>
    <row r="11" spans="1:4" ht="409.5" x14ac:dyDescent="0.35">
      <c r="A11" s="48" t="s">
        <v>95</v>
      </c>
      <c r="B11" s="48" t="s">
        <v>156</v>
      </c>
      <c r="C11" s="70" t="s">
        <v>157</v>
      </c>
    </row>
    <row r="12" spans="1:4" ht="155" x14ac:dyDescent="0.35">
      <c r="A12" s="48" t="s">
        <v>43</v>
      </c>
      <c r="B12" s="48" t="s">
        <v>158</v>
      </c>
      <c r="C12" s="116" t="s">
        <v>159</v>
      </c>
    </row>
    <row r="13" spans="1:4" ht="124" x14ac:dyDescent="0.35">
      <c r="A13" s="48" t="s">
        <v>46</v>
      </c>
      <c r="B13" s="48" t="s">
        <v>160</v>
      </c>
      <c r="C13" s="116" t="s">
        <v>161</v>
      </c>
    </row>
    <row r="14" spans="1:4" ht="15.5" x14ac:dyDescent="0.35">
      <c r="A14" s="49" t="s">
        <v>82</v>
      </c>
      <c r="B14" s="49" t="s">
        <v>162</v>
      </c>
      <c r="C14" s="50"/>
    </row>
    <row r="15" spans="1:4" ht="15.5" x14ac:dyDescent="0.35">
      <c r="A15" s="47" t="s">
        <v>82</v>
      </c>
      <c r="B15" s="47" t="s">
        <v>163</v>
      </c>
      <c r="C15" s="118"/>
    </row>
    <row r="16" spans="1:4" ht="15.5" x14ac:dyDescent="0.35">
      <c r="A16" s="47"/>
      <c r="B16" s="47"/>
      <c r="C16" s="112"/>
    </row>
    <row r="17" spans="1:2" ht="16" thickBot="1" x14ac:dyDescent="0.4">
      <c r="A17" s="196" t="s">
        <v>123</v>
      </c>
      <c r="B17" s="196" t="s">
        <v>124</v>
      </c>
    </row>
    <row r="18" spans="1:2" x14ac:dyDescent="0.35">
      <c r="A18" s="197"/>
      <c r="B18" s="198"/>
    </row>
    <row r="19" spans="1:2" ht="13" x14ac:dyDescent="0.35">
      <c r="A19" s="199" t="s">
        <v>14</v>
      </c>
      <c r="B19" s="200"/>
    </row>
    <row r="20" spans="1:2" ht="14.5" x14ac:dyDescent="0.35">
      <c r="A20" s="201" t="s">
        <v>164</v>
      </c>
      <c r="B20" s="202" t="s">
        <v>165</v>
      </c>
    </row>
    <row r="21" spans="1:2" x14ac:dyDescent="0.25">
      <c r="A21" s="201"/>
      <c r="B21" s="203"/>
    </row>
    <row r="22" spans="1:2" ht="13" x14ac:dyDescent="0.25">
      <c r="A22" s="199" t="s">
        <v>8</v>
      </c>
      <c r="B22" s="203"/>
    </row>
    <row r="23" spans="1:2" ht="14.5" x14ac:dyDescent="0.35">
      <c r="A23" s="201" t="s">
        <v>133</v>
      </c>
      <c r="B23" s="202" t="s">
        <v>134</v>
      </c>
    </row>
    <row r="24" spans="1:2" x14ac:dyDescent="0.25">
      <c r="A24" s="201"/>
      <c r="B24" s="203"/>
    </row>
    <row r="25" spans="1:2" ht="13" x14ac:dyDescent="0.25">
      <c r="A25" s="199" t="s">
        <v>166</v>
      </c>
      <c r="B25" s="203"/>
    </row>
    <row r="26" spans="1:2" ht="14.5" x14ac:dyDescent="0.35">
      <c r="A26" s="201" t="s">
        <v>167</v>
      </c>
      <c r="B26" s="202" t="s">
        <v>168</v>
      </c>
    </row>
    <row r="27" spans="1:2" x14ac:dyDescent="0.25">
      <c r="A27" s="201" t="s">
        <v>137</v>
      </c>
      <c r="B27" s="203" t="s">
        <v>138</v>
      </c>
    </row>
    <row r="28" spans="1:2" ht="13" x14ac:dyDescent="0.25">
      <c r="A28" s="199" t="s">
        <v>169</v>
      </c>
      <c r="B28" s="203"/>
    </row>
    <row r="29" spans="1:2" ht="14.5" x14ac:dyDescent="0.35">
      <c r="A29" s="201" t="s">
        <v>170</v>
      </c>
      <c r="B29" s="202" t="s">
        <v>171</v>
      </c>
    </row>
    <row r="30" spans="1:2" ht="14.5" x14ac:dyDescent="0.35">
      <c r="A30" s="201" t="s">
        <v>172</v>
      </c>
      <c r="B30" s="202" t="s">
        <v>173</v>
      </c>
    </row>
    <row r="31" spans="1:2" ht="29" x14ac:dyDescent="0.35">
      <c r="A31" s="201" t="s">
        <v>174</v>
      </c>
      <c r="B31" s="204" t="s">
        <v>175</v>
      </c>
    </row>
    <row r="32" spans="1:2" ht="14.5" x14ac:dyDescent="0.35">
      <c r="A32" s="201" t="s">
        <v>176</v>
      </c>
      <c r="B32" s="202" t="s">
        <v>177</v>
      </c>
    </row>
    <row r="33" spans="1:2" ht="14.5" x14ac:dyDescent="0.35">
      <c r="A33" s="201" t="s">
        <v>178</v>
      </c>
      <c r="B33" s="202" t="s">
        <v>140</v>
      </c>
    </row>
    <row r="34" spans="1:2" ht="14.5" x14ac:dyDescent="0.35">
      <c r="A34" s="201" t="s">
        <v>179</v>
      </c>
      <c r="B34" s="202" t="s">
        <v>142</v>
      </c>
    </row>
    <row r="35" spans="1:2" ht="15" thickBot="1" x14ac:dyDescent="0.4">
      <c r="A35" s="205" t="s">
        <v>432</v>
      </c>
      <c r="B35" s="206" t="s">
        <v>431</v>
      </c>
    </row>
  </sheetData>
  <mergeCells count="2">
    <mergeCell ref="A1:D1"/>
    <mergeCell ref="A2:D2"/>
  </mergeCells>
  <hyperlinks>
    <hyperlink ref="B20" r:id="rId1" xr:uid="{6337ED9F-23D8-4910-8490-86D52E2CCF7E}"/>
    <hyperlink ref="B23" r:id="rId2" xr:uid="{C2FC7FD8-83FA-4E24-8021-8DC95C2C8945}"/>
    <hyperlink ref="B27" r:id="rId3" xr:uid="{7E91C114-B89D-4517-9D6D-A6FFED0130B6}"/>
    <hyperlink ref="B26" r:id="rId4" xr:uid="{F19E46E6-7D4D-45F3-9397-58420C553DB5}"/>
    <hyperlink ref="B29" r:id="rId5" xr:uid="{28D8745E-FC6E-48E2-ACF4-D25ECF6520B2}"/>
    <hyperlink ref="B30" r:id="rId6" xr:uid="{E0BB730A-DBE2-4ADD-9070-03472C73E88E}"/>
    <hyperlink ref="B31" r:id="rId7" xr:uid="{451584D7-C133-4EF0-B6E9-1DC773FD8988}"/>
    <hyperlink ref="B32" r:id="rId8" xr:uid="{391FDB8B-C329-4876-9222-D83203507DB7}"/>
    <hyperlink ref="B33" r:id="rId9" xr:uid="{87F791E8-6658-420B-BE5C-E7BD6BCF95DE}"/>
    <hyperlink ref="B34" r:id="rId10" xr:uid="{B3C3AFD7-3A73-45FF-BCC4-D0AEEFA3F24D}"/>
    <hyperlink ref="B35" r:id="rId11" xr:uid="{E8D8B036-504C-461C-AD43-44B7E081B93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79570-6E73-4D69-BE17-4BC7561399D0}">
  <sheetPr>
    <tabColor rgb="FFFFC000"/>
  </sheetPr>
  <dimension ref="A1:C63"/>
  <sheetViews>
    <sheetView zoomScale="70" zoomScaleNormal="70" workbookViewId="0">
      <selection activeCell="A7" sqref="A7"/>
    </sheetView>
  </sheetViews>
  <sheetFormatPr defaultRowHeight="14.5" x14ac:dyDescent="0.35"/>
  <cols>
    <col min="1" max="1" width="68.453125" customWidth="1"/>
    <col min="3" max="3" width="69.453125" customWidth="1"/>
    <col min="5" max="5" width="46.54296875" customWidth="1"/>
  </cols>
  <sheetData>
    <row r="1" spans="1:3" ht="40.5" customHeight="1" x14ac:dyDescent="0.35">
      <c r="A1" s="161" t="s">
        <v>365</v>
      </c>
      <c r="B1" s="161"/>
      <c r="C1" s="161"/>
    </row>
    <row r="2" spans="1:3" ht="15.5" x14ac:dyDescent="0.35">
      <c r="A2" s="131" t="s">
        <v>366</v>
      </c>
    </row>
    <row r="3" spans="1:3" x14ac:dyDescent="0.35">
      <c r="A3" s="132" t="s">
        <v>367</v>
      </c>
      <c r="C3" s="133" t="s">
        <v>368</v>
      </c>
    </row>
    <row r="4" spans="1:3" x14ac:dyDescent="0.35">
      <c r="A4" s="134" t="s">
        <v>369</v>
      </c>
      <c r="C4" s="135" t="s">
        <v>370</v>
      </c>
    </row>
    <row r="5" spans="1:3" x14ac:dyDescent="0.35">
      <c r="A5" s="134" t="s">
        <v>371</v>
      </c>
      <c r="C5" s="135" t="s">
        <v>372</v>
      </c>
    </row>
    <row r="6" spans="1:3" x14ac:dyDescent="0.35">
      <c r="A6" s="136" t="s">
        <v>373</v>
      </c>
      <c r="C6" s="135" t="s">
        <v>374</v>
      </c>
    </row>
    <row r="7" spans="1:3" x14ac:dyDescent="0.35">
      <c r="A7" s="136" t="s">
        <v>375</v>
      </c>
      <c r="C7" s="135" t="s">
        <v>376</v>
      </c>
    </row>
    <row r="8" spans="1:3" x14ac:dyDescent="0.35">
      <c r="A8" s="136" t="s">
        <v>377</v>
      </c>
    </row>
    <row r="9" spans="1:3" x14ac:dyDescent="0.35">
      <c r="A9" s="136" t="s">
        <v>378</v>
      </c>
    </row>
    <row r="10" spans="1:3" ht="39.5" x14ac:dyDescent="0.35">
      <c r="A10" s="136" t="s">
        <v>379</v>
      </c>
      <c r="C10" s="137" t="s">
        <v>380</v>
      </c>
    </row>
    <row r="11" spans="1:3" x14ac:dyDescent="0.35">
      <c r="A11" s="136" t="s">
        <v>381</v>
      </c>
    </row>
    <row r="12" spans="1:3" x14ac:dyDescent="0.35">
      <c r="A12" s="134" t="s">
        <v>382</v>
      </c>
    </row>
    <row r="13" spans="1:3" x14ac:dyDescent="0.35">
      <c r="A13" s="138" t="s">
        <v>383</v>
      </c>
    </row>
    <row r="14" spans="1:3" x14ac:dyDescent="0.35">
      <c r="A14" s="138" t="s">
        <v>384</v>
      </c>
    </row>
    <row r="15" spans="1:3" x14ac:dyDescent="0.35">
      <c r="A15" s="138" t="s">
        <v>385</v>
      </c>
    </row>
    <row r="16" spans="1:3" x14ac:dyDescent="0.35">
      <c r="A16" s="135"/>
    </row>
    <row r="17" spans="1:1" x14ac:dyDescent="0.35">
      <c r="A17" s="134" t="s">
        <v>386</v>
      </c>
    </row>
    <row r="18" spans="1:1" x14ac:dyDescent="0.35">
      <c r="A18" s="134" t="s">
        <v>387</v>
      </c>
    </row>
    <row r="19" spans="1:1" x14ac:dyDescent="0.35">
      <c r="A19" s="134" t="s">
        <v>371</v>
      </c>
    </row>
    <row r="20" spans="1:1" x14ac:dyDescent="0.35">
      <c r="A20" s="136" t="s">
        <v>388</v>
      </c>
    </row>
    <row r="21" spans="1:1" x14ac:dyDescent="0.35">
      <c r="A21" s="136" t="s">
        <v>389</v>
      </c>
    </row>
    <row r="22" spans="1:1" x14ac:dyDescent="0.35">
      <c r="A22" s="136" t="s">
        <v>390</v>
      </c>
    </row>
    <row r="23" spans="1:1" x14ac:dyDescent="0.35">
      <c r="A23" s="136" t="s">
        <v>391</v>
      </c>
    </row>
    <row r="24" spans="1:1" x14ac:dyDescent="0.35">
      <c r="A24" s="136" t="s">
        <v>392</v>
      </c>
    </row>
    <row r="25" spans="1:1" x14ac:dyDescent="0.35">
      <c r="A25" s="136" t="s">
        <v>393</v>
      </c>
    </row>
    <row r="26" spans="1:1" x14ac:dyDescent="0.35">
      <c r="A26" s="136" t="s">
        <v>394</v>
      </c>
    </row>
    <row r="27" spans="1:1" x14ac:dyDescent="0.35">
      <c r="A27" s="134" t="s">
        <v>395</v>
      </c>
    </row>
    <row r="28" spans="1:1" x14ac:dyDescent="0.35">
      <c r="A28" s="138" t="s">
        <v>396</v>
      </c>
    </row>
    <row r="29" spans="1:1" x14ac:dyDescent="0.35">
      <c r="A29" s="138" t="s">
        <v>397</v>
      </c>
    </row>
    <row r="30" spans="1:1" x14ac:dyDescent="0.35">
      <c r="A30" s="138" t="s">
        <v>398</v>
      </c>
    </row>
    <row r="31" spans="1:1" x14ac:dyDescent="0.35">
      <c r="A31" s="135"/>
    </row>
    <row r="32" spans="1:1" x14ac:dyDescent="0.35">
      <c r="A32" s="134" t="s">
        <v>399</v>
      </c>
    </row>
    <row r="33" spans="1:1" x14ac:dyDescent="0.35">
      <c r="A33" s="134" t="s">
        <v>400</v>
      </c>
    </row>
    <row r="34" spans="1:1" x14ac:dyDescent="0.35">
      <c r="A34" s="134" t="s">
        <v>371</v>
      </c>
    </row>
    <row r="35" spans="1:1" x14ac:dyDescent="0.35">
      <c r="A35" s="136" t="s">
        <v>401</v>
      </c>
    </row>
    <row r="36" spans="1:1" x14ac:dyDescent="0.35">
      <c r="A36" s="136" t="s">
        <v>402</v>
      </c>
    </row>
    <row r="37" spans="1:1" x14ac:dyDescent="0.35">
      <c r="A37" s="136" t="s">
        <v>403</v>
      </c>
    </row>
    <row r="38" spans="1:1" x14ac:dyDescent="0.35">
      <c r="A38" s="136" t="s">
        <v>404</v>
      </c>
    </row>
    <row r="39" spans="1:1" x14ac:dyDescent="0.35">
      <c r="A39" s="136" t="s">
        <v>405</v>
      </c>
    </row>
    <row r="40" spans="1:1" x14ac:dyDescent="0.35">
      <c r="A40" s="136" t="s">
        <v>406</v>
      </c>
    </row>
    <row r="41" spans="1:1" x14ac:dyDescent="0.35">
      <c r="A41" s="134" t="s">
        <v>407</v>
      </c>
    </row>
    <row r="42" spans="1:1" x14ac:dyDescent="0.35">
      <c r="A42" s="138" t="s">
        <v>408</v>
      </c>
    </row>
    <row r="43" spans="1:1" x14ac:dyDescent="0.35">
      <c r="A43" s="138" t="s">
        <v>409</v>
      </c>
    </row>
    <row r="44" spans="1:1" x14ac:dyDescent="0.35">
      <c r="A44" s="138" t="s">
        <v>410</v>
      </c>
    </row>
    <row r="45" spans="1:1" x14ac:dyDescent="0.35">
      <c r="A45" s="135"/>
    </row>
    <row r="46" spans="1:1" x14ac:dyDescent="0.35">
      <c r="A46" s="134" t="s">
        <v>411</v>
      </c>
    </row>
    <row r="47" spans="1:1" x14ac:dyDescent="0.35">
      <c r="A47" s="134" t="s">
        <v>412</v>
      </c>
    </row>
    <row r="48" spans="1:1" x14ac:dyDescent="0.35">
      <c r="A48" s="134" t="s">
        <v>371</v>
      </c>
    </row>
    <row r="49" spans="1:1" x14ac:dyDescent="0.35">
      <c r="A49" s="136" t="s">
        <v>413</v>
      </c>
    </row>
    <row r="50" spans="1:1" x14ac:dyDescent="0.35">
      <c r="A50" s="136" t="s">
        <v>414</v>
      </c>
    </row>
    <row r="51" spans="1:1" x14ac:dyDescent="0.35">
      <c r="A51" s="136" t="s">
        <v>415</v>
      </c>
    </row>
    <row r="52" spans="1:1" x14ac:dyDescent="0.35">
      <c r="A52" s="136" t="s">
        <v>416</v>
      </c>
    </row>
    <row r="53" spans="1:1" x14ac:dyDescent="0.35">
      <c r="A53" s="136" t="s">
        <v>417</v>
      </c>
    </row>
    <row r="54" spans="1:1" x14ac:dyDescent="0.35">
      <c r="A54" s="136" t="s">
        <v>418</v>
      </c>
    </row>
    <row r="55" spans="1:1" x14ac:dyDescent="0.35">
      <c r="A55" s="136" t="s">
        <v>419</v>
      </c>
    </row>
    <row r="56" spans="1:1" x14ac:dyDescent="0.35">
      <c r="A56" s="136" t="s">
        <v>420</v>
      </c>
    </row>
    <row r="57" spans="1:1" x14ac:dyDescent="0.35">
      <c r="A57" s="136" t="s">
        <v>421</v>
      </c>
    </row>
    <row r="58" spans="1:1" x14ac:dyDescent="0.35">
      <c r="A58" s="136" t="s">
        <v>422</v>
      </c>
    </row>
    <row r="59" spans="1:1" x14ac:dyDescent="0.35">
      <c r="A59" s="136" t="s">
        <v>423</v>
      </c>
    </row>
    <row r="60" spans="1:1" x14ac:dyDescent="0.35">
      <c r="A60" s="134" t="s">
        <v>424</v>
      </c>
    </row>
    <row r="61" spans="1:1" x14ac:dyDescent="0.35">
      <c r="A61" s="138" t="s">
        <v>425</v>
      </c>
    </row>
    <row r="62" spans="1:1" x14ac:dyDescent="0.35">
      <c r="A62" s="138" t="s">
        <v>426</v>
      </c>
    </row>
    <row r="63" spans="1:1" x14ac:dyDescent="0.35">
      <c r="A63" s="138" t="s">
        <v>427</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0ADF-000D-428E-B3C0-F7E41664D7E0}">
  <sheetPr>
    <tabColor rgb="FF00B0F0"/>
  </sheetPr>
  <dimension ref="A1:E15"/>
  <sheetViews>
    <sheetView showGridLines="0" zoomScale="90" zoomScaleNormal="90" workbookViewId="0">
      <pane ySplit="2" topLeftCell="A10" activePane="bottomLeft" state="frozen"/>
      <selection pane="bottomLeft" activeCell="I1" sqref="I1"/>
    </sheetView>
  </sheetViews>
  <sheetFormatPr defaultColWidth="9.1796875" defaultRowHeight="14.5" x14ac:dyDescent="0.35"/>
  <cols>
    <col min="1" max="1" width="5.453125" style="9" bestFit="1" customWidth="1"/>
    <col min="2" max="2" width="27" style="9" customWidth="1"/>
    <col min="3" max="3" width="33.26953125" style="9" customWidth="1"/>
    <col min="4" max="4" width="16.1796875" style="9" customWidth="1"/>
    <col min="5" max="5" width="63.26953125" style="9" customWidth="1"/>
    <col min="6" max="16384" width="9.1796875" style="9"/>
  </cols>
  <sheetData>
    <row r="1" spans="1:5" ht="60" customHeight="1" x14ac:dyDescent="0.35">
      <c r="A1" s="171" t="s">
        <v>180</v>
      </c>
      <c r="B1" s="172"/>
      <c r="C1" s="172"/>
      <c r="D1" s="172"/>
      <c r="E1" s="172"/>
    </row>
    <row r="2" spans="1:5" s="20" customFormat="1" ht="16" thickBot="1" x14ac:dyDescent="0.4">
      <c r="A2" s="73" t="s">
        <v>181</v>
      </c>
      <c r="B2" s="74" t="s">
        <v>7</v>
      </c>
      <c r="C2" s="74" t="s">
        <v>182</v>
      </c>
      <c r="D2" s="74" t="s">
        <v>183</v>
      </c>
      <c r="E2" s="74" t="s">
        <v>184</v>
      </c>
    </row>
    <row r="3" spans="1:5" ht="44" thickBot="1" x14ac:dyDescent="0.4">
      <c r="A3" s="75">
        <v>1</v>
      </c>
      <c r="B3" s="173" t="s">
        <v>185</v>
      </c>
      <c r="C3" s="76" t="s">
        <v>186</v>
      </c>
      <c r="D3" s="77" t="s">
        <v>187</v>
      </c>
      <c r="E3" s="78" t="s">
        <v>188</v>
      </c>
    </row>
    <row r="4" spans="1:5" ht="44" thickBot="1" x14ac:dyDescent="0.4">
      <c r="A4" s="75">
        <v>2</v>
      </c>
      <c r="B4" s="174"/>
      <c r="C4" s="76" t="s">
        <v>189</v>
      </c>
      <c r="D4" s="77" t="s">
        <v>187</v>
      </c>
      <c r="E4" s="78" t="s">
        <v>190</v>
      </c>
    </row>
    <row r="5" spans="1:5" ht="29" x14ac:dyDescent="0.35">
      <c r="A5" s="173">
        <v>3</v>
      </c>
      <c r="B5" s="173" t="s">
        <v>191</v>
      </c>
      <c r="C5" s="79" t="s">
        <v>192</v>
      </c>
      <c r="D5" s="169" t="s">
        <v>187</v>
      </c>
      <c r="E5" s="79" t="s">
        <v>193</v>
      </c>
    </row>
    <row r="6" spans="1:5" ht="29" x14ac:dyDescent="0.35">
      <c r="A6" s="175"/>
      <c r="B6" s="175"/>
      <c r="C6" s="79" t="s">
        <v>194</v>
      </c>
      <c r="D6" s="176"/>
      <c r="E6" s="79" t="s">
        <v>195</v>
      </c>
    </row>
    <row r="7" spans="1:5" ht="29.5" thickBot="1" x14ac:dyDescent="0.4">
      <c r="A7" s="175"/>
      <c r="B7" s="175"/>
      <c r="C7" s="80"/>
      <c r="D7" s="170"/>
      <c r="E7" s="78" t="s">
        <v>196</v>
      </c>
    </row>
    <row r="8" spans="1:5" ht="29" x14ac:dyDescent="0.35">
      <c r="A8" s="175"/>
      <c r="B8" s="175"/>
      <c r="C8" s="79" t="s">
        <v>197</v>
      </c>
      <c r="D8" s="169" t="s">
        <v>187</v>
      </c>
      <c r="E8" s="166" t="s">
        <v>198</v>
      </c>
    </row>
    <row r="9" spans="1:5" ht="15" thickBot="1" x14ac:dyDescent="0.4">
      <c r="A9" s="174"/>
      <c r="B9" s="174"/>
      <c r="C9" s="78" t="s">
        <v>199</v>
      </c>
      <c r="D9" s="170"/>
      <c r="E9" s="167"/>
    </row>
    <row r="10" spans="1:5" x14ac:dyDescent="0.35">
      <c r="A10" s="162">
        <v>4</v>
      </c>
      <c r="B10" s="162" t="s">
        <v>200</v>
      </c>
      <c r="C10" s="79" t="s">
        <v>201</v>
      </c>
      <c r="D10" s="169" t="s">
        <v>187</v>
      </c>
      <c r="E10" s="166" t="s">
        <v>202</v>
      </c>
    </row>
    <row r="11" spans="1:5" ht="15" thickBot="1" x14ac:dyDescent="0.4">
      <c r="A11" s="168"/>
      <c r="B11" s="168"/>
      <c r="C11" s="78" t="s">
        <v>203</v>
      </c>
      <c r="D11" s="170"/>
      <c r="E11" s="167"/>
    </row>
    <row r="12" spans="1:5" ht="29" x14ac:dyDescent="0.35">
      <c r="A12" s="168"/>
      <c r="B12" s="168"/>
      <c r="C12" s="79" t="s">
        <v>204</v>
      </c>
      <c r="D12" s="169" t="s">
        <v>187</v>
      </c>
      <c r="E12" s="166" t="s">
        <v>205</v>
      </c>
    </row>
    <row r="13" spans="1:5" ht="15" thickBot="1" x14ac:dyDescent="0.4">
      <c r="A13" s="163"/>
      <c r="B13" s="163"/>
      <c r="C13" s="78" t="s">
        <v>206</v>
      </c>
      <c r="D13" s="170"/>
      <c r="E13" s="167"/>
    </row>
    <row r="14" spans="1:5" ht="29" x14ac:dyDescent="0.35">
      <c r="A14" s="162">
        <v>5</v>
      </c>
      <c r="B14" s="162" t="s">
        <v>207</v>
      </c>
      <c r="C14" s="79" t="s">
        <v>208</v>
      </c>
      <c r="D14" s="164" t="s">
        <v>187</v>
      </c>
      <c r="E14" s="166" t="s">
        <v>209</v>
      </c>
    </row>
    <row r="15" spans="1:5" ht="15" thickBot="1" x14ac:dyDescent="0.4">
      <c r="A15" s="163"/>
      <c r="B15" s="163"/>
      <c r="C15" s="78" t="s">
        <v>210</v>
      </c>
      <c r="D15" s="165"/>
      <c r="E15" s="167"/>
    </row>
  </sheetData>
  <mergeCells count="17">
    <mergeCell ref="A1:E1"/>
    <mergeCell ref="B3:B4"/>
    <mergeCell ref="A5:A9"/>
    <mergeCell ref="B5:B9"/>
    <mergeCell ref="D5:D7"/>
    <mergeCell ref="D8:D9"/>
    <mergeCell ref="E8:E9"/>
    <mergeCell ref="A14:A15"/>
    <mergeCell ref="B14:B15"/>
    <mergeCell ref="D14:D15"/>
    <mergeCell ref="E14:E15"/>
    <mergeCell ref="A10:A13"/>
    <mergeCell ref="B10:B13"/>
    <mergeCell ref="D10:D11"/>
    <mergeCell ref="E10:E11"/>
    <mergeCell ref="D12:D13"/>
    <mergeCell ref="E12:E13"/>
  </mergeCells>
  <hyperlinks>
    <hyperlink ref="D3" r:id="rId1" display="https://cognizantlearning.sumtotal.host/rcore/c/pillarRedirect?relyingParty=LM&amp;url=app%2fmanagement%2fLMS_ActDetails.aspx%3fActivityId%3d2013304%26UserMode%3d0" xr:uid="{6EDB1C27-27EF-4AEC-83AF-DF0AFC0907EB}"/>
    <hyperlink ref="D4" r:id="rId2" display="https://cognizantlearning.sumtotal.host/rcore/c/pillarRedirect?relyingParty=LM&amp;url=app%2fmanagement%2fLMS_ActDetails.aspx%3fActivityId%3d2078284%26UserMode%3d0" xr:uid="{CFF47EAD-5207-4425-8D02-D0B93BD11AD9}"/>
    <hyperlink ref="D5" r:id="rId3" display="https://cognizantlearning.sumtotal.host/rcore/c/pillarRedirect?isDeepLink=1&amp;relyingParty=LM&amp;url=https%3A%2F%2FCOGNIZANTLEARNING.sumtotal.host%2Flearning%2Fcore%2Factivitydetails%2FViewActivityDetails%3FUserMode%3D0%26ActivityId%3D2048054%26ClassUnderStruct%3DFalse%26CallerUrl%3D%2Flearning%2Flearner%2FHome%2FGoToPortal%3Fkey%3D0%26SearchCallerURL%3Dhttps%253A%252F%252FCOGNIZANTLEARNING.sumtotal.host%252Fcore%252FsearchRedirect%253FViewType%253DList%2526SearchText%253DELRNG01863%2526startRow%253D0%26SearchCallerID%3D2" xr:uid="{2388DB20-73AC-44C8-940A-B81A76D3C0C5}"/>
    <hyperlink ref="D8" r:id="rId4" display="https://cognizantlearning.sumtotal.host/rcore/c/pillarRedirect?isDeepLink=1&amp;relyingParty=LM&amp;url=https%3A%2F%2FCOGNIZANTLEARNING.sumtotal.host%2Flearning%2Fcore%2Factivitydetails%2FViewActivityDetails%3FUserMode%3D0%26ActivityId%3D2068119%26ClassUnderStruct%3DFalse%26CallerUrl%3D%2Flearning%2Flearner%2FHome%2FGoToPortal%3Fkey%3D0%26SearchCallerURL%3Dhttps%253A%252F%252FCOGNIZANTLEARNING.sumtotal.host%252Fcore%252FsearchRedirect%253FViewType%253DList%2526SearchText%253DATHDW335105%2526startRow%253D0%26SearchCallerID%3D2" xr:uid="{5F89F01E-2A5D-424B-9028-880891845B76}"/>
    <hyperlink ref="D10" r:id="rId5" display="https://cognizantlearning.sumtotal.host/rcore/c/pillarRedirect?isDeepLink=1&amp;relyingParty=LM&amp;url=https%3A%2F%2FCOGNIZANTLEARNING.sumtotal.host%2Flearning%2Fcore%2Factivitydetails%2FViewActivityDetails%3FUserMode%3D0%26ActivityId%3D2048054%26ClassUnderStruct%3DFalse%26CallerUrl%3D%2Flearning%2Flearner%2FHome%2FGoToPortal%3Fkey%3D0%26SearchCallerURL%3Dhttps%253A%252F%252FCOGNIZANTLEARNING.sumtotal.host%252Fcore%252FsearchRedirect%253FViewType%253DList%2526SearchText%253DELRNG01863%2526startRow%253D0%26SearchCallerID%3D2" xr:uid="{65033C28-070A-4E6C-97F9-ACD65DCF4A7F}"/>
    <hyperlink ref="D12" r:id="rId6" display="https://cognizantlearning.sumtotal.host/rcore/c/pillarRedirect?isDeepLink=1&amp;relyingParty=LM&amp;url=https%3A%2F%2FCOGNIZANTLEARNING.sumtotal.host%2Flearning%2Fcore%2Factivitydetails%2FViewActivityDetails%3FUserMode%3D0%26ActivityId%3D2216335%26ClassUnderStruct%3DFalse%26CallerUrl%3D%2Flearning%2Flearner%2FHome%2FGoToPortal%3Fkey%3D0%26SearchCallerURL%3Dhttps%253A%252F%252FCOGNIZANTLEARNING.sumtotal.host%252Fcore%252FsearchRedirect%253FViewType%253DList%2526SearchText%253DELRNG02344%2526startRow%253D0%26SearchCallerID%3D2" xr:uid="{649AEF65-9C7E-4F80-935E-3072DCF53279}"/>
    <hyperlink ref="D14" r:id="rId7" display="https://cognizantlearning.sumtotal.host/rcore/c/pillarRedirect?isDeepLink=1&amp;relyingParty=LM&amp;url=https%3A%2F%2FCOGNIZANTLEARNING.sumtotal.host%2Flearning%2Fcore%2Factivitydetails%2FViewActivityDetails%3FUserMode%3D0%26ActivityId%3D2123188%26ClassUnderStruct%3DFalse%26CallerUrl%3D%2Flearning%2Flearner%2FHome%2FGoToPortal%3Fkey%3D0%26SearchCallerURL%3Dhttps%253A%252F%252FCOGNIZANTLEARNING.sumtotal.host%252Fcore%252FsearchRedirect%253FViewType%253DList%2526SearchText%253DELRNG02089%2526startRow%253D0%26SearchCallerID%3D2" xr:uid="{7E30C855-07D7-4820-932F-A4C630227E9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62D2-29AB-49F3-B6E7-4B2D1CD6C165}">
  <sheetPr>
    <tabColor rgb="FF00B0F0"/>
  </sheetPr>
  <dimension ref="A1:E13"/>
  <sheetViews>
    <sheetView workbookViewId="0">
      <selection sqref="A1:XFD1"/>
    </sheetView>
  </sheetViews>
  <sheetFormatPr defaultRowHeight="14.5" x14ac:dyDescent="0.35"/>
  <cols>
    <col min="1" max="1" width="27" bestFit="1" customWidth="1"/>
    <col min="2" max="2" width="54.26953125" style="21" customWidth="1"/>
    <col min="3" max="3" width="85.453125" style="21" customWidth="1"/>
  </cols>
  <sheetData>
    <row r="1" spans="1:5" s="9" customFormat="1" ht="60" customHeight="1" x14ac:dyDescent="0.35">
      <c r="A1" s="171" t="s">
        <v>180</v>
      </c>
      <c r="B1" s="172"/>
      <c r="C1" s="172"/>
      <c r="D1" s="172"/>
      <c r="E1" s="172"/>
    </row>
    <row r="2" spans="1:5" s="30" customFormat="1" x14ac:dyDescent="0.35">
      <c r="A2" s="177" t="s">
        <v>114</v>
      </c>
      <c r="B2" s="178"/>
      <c r="C2" s="178"/>
    </row>
    <row r="3" spans="1:5" s="30" customFormat="1" x14ac:dyDescent="0.35">
      <c r="A3" s="31" t="s">
        <v>211</v>
      </c>
      <c r="B3" s="32"/>
      <c r="C3" s="32"/>
    </row>
    <row r="4" spans="1:5" s="35" customFormat="1" x14ac:dyDescent="0.35">
      <c r="A4" s="33" t="s">
        <v>212</v>
      </c>
      <c r="B4" s="33" t="s">
        <v>213</v>
      </c>
      <c r="C4" s="34" t="s">
        <v>214</v>
      </c>
    </row>
    <row r="5" spans="1:5" ht="43.5" x14ac:dyDescent="0.35">
      <c r="A5" s="36" t="s">
        <v>215</v>
      </c>
      <c r="B5" s="36" t="s">
        <v>216</v>
      </c>
      <c r="C5" s="37" t="s">
        <v>217</v>
      </c>
    </row>
    <row r="6" spans="1:5" ht="87" x14ac:dyDescent="0.35">
      <c r="A6" s="36" t="s">
        <v>218</v>
      </c>
      <c r="B6" s="36" t="s">
        <v>219</v>
      </c>
      <c r="C6" s="37" t="s">
        <v>220</v>
      </c>
    </row>
    <row r="7" spans="1:5" ht="145" x14ac:dyDescent="0.35">
      <c r="A7" s="36" t="s">
        <v>221</v>
      </c>
      <c r="B7" s="36" t="s">
        <v>222</v>
      </c>
      <c r="C7" s="38" t="s">
        <v>223</v>
      </c>
    </row>
    <row r="8" spans="1:5" ht="29" x14ac:dyDescent="0.35">
      <c r="A8" s="36" t="s">
        <v>224</v>
      </c>
      <c r="B8" s="36" t="s">
        <v>225</v>
      </c>
      <c r="C8" s="104" t="s">
        <v>226</v>
      </c>
    </row>
    <row r="11" spans="1:5" x14ac:dyDescent="0.35">
      <c r="A11" s="179" t="s">
        <v>227</v>
      </c>
      <c r="B11" s="179"/>
      <c r="C11" s="179"/>
    </row>
    <row r="12" spans="1:5" ht="31.5" customHeight="1" x14ac:dyDescent="0.35">
      <c r="A12" s="105" t="s">
        <v>228</v>
      </c>
      <c r="B12" s="180" t="s">
        <v>229</v>
      </c>
      <c r="C12" s="180"/>
    </row>
    <row r="13" spans="1:5" ht="31.5" customHeight="1" x14ac:dyDescent="0.35">
      <c r="A13" s="105" t="s">
        <v>230</v>
      </c>
      <c r="B13" s="180" t="s">
        <v>231</v>
      </c>
      <c r="C13" s="180"/>
    </row>
  </sheetData>
  <mergeCells count="5">
    <mergeCell ref="A2:C2"/>
    <mergeCell ref="A11:C11"/>
    <mergeCell ref="B12:C12"/>
    <mergeCell ref="B13:C13"/>
    <mergeCell ref="A1:E1"/>
  </mergeCells>
  <hyperlinks>
    <hyperlink ref="C7" r:id="rId1" xr:uid="{7A486D6D-460D-4E52-AE34-AE186CF36757}"/>
    <hyperlink ref="C8" r:id="rId2" xr:uid="{3983A0F2-8D09-4F97-817D-B4BF3597460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3515-C03B-4424-9B2A-CAA014B93E05}">
  <sheetPr>
    <tabColor rgb="FF0070C0"/>
  </sheetPr>
  <dimension ref="A1:E30"/>
  <sheetViews>
    <sheetView workbookViewId="0">
      <selection activeCell="A11" sqref="A11"/>
    </sheetView>
  </sheetViews>
  <sheetFormatPr defaultRowHeight="14.5" x14ac:dyDescent="0.35"/>
  <cols>
    <col min="1" max="1" width="59.26953125" customWidth="1"/>
    <col min="2" max="2" width="52.453125" customWidth="1"/>
    <col min="3" max="3" width="18.453125" bestFit="1" customWidth="1"/>
    <col min="4" max="4" width="54.81640625" customWidth="1"/>
    <col min="5" max="5" width="36.453125" customWidth="1"/>
  </cols>
  <sheetData>
    <row r="1" spans="1:5" ht="15.5" x14ac:dyDescent="0.35">
      <c r="A1" s="81" t="s">
        <v>232</v>
      </c>
    </row>
    <row r="2" spans="1:5" ht="15" thickBot="1" x14ac:dyDescent="0.4">
      <c r="A2" s="82"/>
    </row>
    <row r="3" spans="1:5" ht="16" thickBot="1" x14ac:dyDescent="0.4">
      <c r="A3" s="83" t="s">
        <v>123</v>
      </c>
      <c r="B3" s="84" t="s">
        <v>233</v>
      </c>
      <c r="C3" s="84" t="s">
        <v>234</v>
      </c>
      <c r="D3" s="85" t="s">
        <v>235</v>
      </c>
      <c r="E3" s="84" t="s">
        <v>236</v>
      </c>
    </row>
    <row r="4" spans="1:5" x14ac:dyDescent="0.35">
      <c r="A4" s="181" t="s">
        <v>237</v>
      </c>
      <c r="B4" s="183" t="s">
        <v>238</v>
      </c>
      <c r="C4" s="183" t="s">
        <v>239</v>
      </c>
      <c r="D4" s="181" t="s">
        <v>240</v>
      </c>
      <c r="E4" s="86" t="s">
        <v>241</v>
      </c>
    </row>
    <row r="5" spans="1:5" x14ac:dyDescent="0.35">
      <c r="A5" s="185"/>
      <c r="B5" s="186"/>
      <c r="C5" s="186"/>
      <c r="D5" s="185"/>
      <c r="E5" s="86" t="s">
        <v>242</v>
      </c>
    </row>
    <row r="6" spans="1:5" ht="15" thickBot="1" x14ac:dyDescent="0.4">
      <c r="A6" s="182"/>
      <c r="B6" s="184"/>
      <c r="C6" s="184"/>
      <c r="D6" s="182"/>
      <c r="E6" s="89" t="s">
        <v>243</v>
      </c>
    </row>
    <row r="7" spans="1:5" x14ac:dyDescent="0.35">
      <c r="A7" s="181" t="s">
        <v>237</v>
      </c>
      <c r="B7" s="183" t="s">
        <v>244</v>
      </c>
      <c r="C7" s="183" t="s">
        <v>245</v>
      </c>
      <c r="D7" s="181" t="s">
        <v>84</v>
      </c>
      <c r="E7" s="86" t="s">
        <v>246</v>
      </c>
    </row>
    <row r="8" spans="1:5" ht="15" thickBot="1" x14ac:dyDescent="0.4">
      <c r="A8" s="182"/>
      <c r="B8" s="184"/>
      <c r="C8" s="184"/>
      <c r="D8" s="182"/>
      <c r="E8" s="89" t="s">
        <v>247</v>
      </c>
    </row>
    <row r="9" spans="1:5" x14ac:dyDescent="0.35">
      <c r="A9" s="181" t="s">
        <v>200</v>
      </c>
      <c r="B9" s="183" t="s">
        <v>201</v>
      </c>
      <c r="C9" s="183" t="s">
        <v>248</v>
      </c>
      <c r="D9" s="181" t="s">
        <v>240</v>
      </c>
      <c r="E9" s="86" t="s">
        <v>249</v>
      </c>
    </row>
    <row r="10" spans="1:5" ht="15" thickBot="1" x14ac:dyDescent="0.4">
      <c r="A10" s="182"/>
      <c r="B10" s="184"/>
      <c r="C10" s="184"/>
      <c r="D10" s="182"/>
      <c r="E10" s="89" t="s">
        <v>250</v>
      </c>
    </row>
    <row r="11" spans="1:5" x14ac:dyDescent="0.35">
      <c r="A11" s="181" t="s">
        <v>200</v>
      </c>
      <c r="B11" s="183" t="s">
        <v>251</v>
      </c>
      <c r="C11" s="183" t="s">
        <v>252</v>
      </c>
      <c r="D11" s="181" t="s">
        <v>240</v>
      </c>
      <c r="E11" s="86" t="s">
        <v>253</v>
      </c>
    </row>
    <row r="12" spans="1:5" ht="15" thickBot="1" x14ac:dyDescent="0.4">
      <c r="A12" s="182"/>
      <c r="B12" s="184"/>
      <c r="C12" s="184"/>
      <c r="D12" s="182"/>
      <c r="E12" s="89" t="s">
        <v>254</v>
      </c>
    </row>
    <row r="13" spans="1:5" x14ac:dyDescent="0.35">
      <c r="A13" s="82"/>
    </row>
    <row r="14" spans="1:5" ht="16" thickBot="1" x14ac:dyDescent="0.4">
      <c r="A14" s="81" t="s">
        <v>255</v>
      </c>
    </row>
    <row r="15" spans="1:5" ht="16" thickBot="1" x14ac:dyDescent="0.4">
      <c r="A15" s="83" t="s">
        <v>123</v>
      </c>
      <c r="B15" s="84" t="s">
        <v>233</v>
      </c>
      <c r="C15" s="84" t="s">
        <v>234</v>
      </c>
      <c r="D15" s="85" t="s">
        <v>235</v>
      </c>
      <c r="E15" s="84" t="s">
        <v>236</v>
      </c>
    </row>
    <row r="16" spans="1:5" ht="29.5" thickBot="1" x14ac:dyDescent="0.4">
      <c r="A16" s="87" t="s">
        <v>256</v>
      </c>
      <c r="B16" s="89" t="s">
        <v>257</v>
      </c>
      <c r="C16" s="89" t="s">
        <v>258</v>
      </c>
      <c r="D16" s="90" t="s">
        <v>259</v>
      </c>
      <c r="E16" s="89" t="s">
        <v>260</v>
      </c>
    </row>
    <row r="17" spans="1:4" ht="15.5" x14ac:dyDescent="0.35">
      <c r="A17" s="81"/>
    </row>
    <row r="18" spans="1:4" ht="16" thickBot="1" x14ac:dyDescent="0.4">
      <c r="A18" s="81" t="s">
        <v>261</v>
      </c>
    </row>
    <row r="19" spans="1:4" ht="16" thickBot="1" x14ac:dyDescent="0.4">
      <c r="A19" s="91" t="s">
        <v>233</v>
      </c>
      <c r="B19" s="84" t="s">
        <v>234</v>
      </c>
      <c r="C19" s="85" t="s">
        <v>235</v>
      </c>
      <c r="D19" s="84" t="s">
        <v>236</v>
      </c>
    </row>
    <row r="20" spans="1:4" ht="29.5" thickBot="1" x14ac:dyDescent="0.4">
      <c r="A20" s="88" t="s">
        <v>262</v>
      </c>
      <c r="B20" s="92" t="s">
        <v>263</v>
      </c>
      <c r="C20" s="90" t="s">
        <v>240</v>
      </c>
      <c r="D20" s="89" t="s">
        <v>264</v>
      </c>
    </row>
    <row r="21" spans="1:4" ht="29.5" thickBot="1" x14ac:dyDescent="0.4">
      <c r="A21" s="88" t="s">
        <v>265</v>
      </c>
      <c r="B21" s="92" t="s">
        <v>266</v>
      </c>
      <c r="C21" s="90" t="s">
        <v>240</v>
      </c>
      <c r="D21" s="89" t="s">
        <v>267</v>
      </c>
    </row>
    <row r="22" spans="1:4" ht="29.5" thickBot="1" x14ac:dyDescent="0.4">
      <c r="A22" s="88" t="s">
        <v>268</v>
      </c>
      <c r="B22" s="92" t="s">
        <v>269</v>
      </c>
      <c r="C22" s="90" t="s">
        <v>240</v>
      </c>
      <c r="D22" s="89" t="s">
        <v>270</v>
      </c>
    </row>
    <row r="23" spans="1:4" ht="15" thickBot="1" x14ac:dyDescent="0.4">
      <c r="A23" s="88" t="s">
        <v>271</v>
      </c>
      <c r="B23" s="92" t="s">
        <v>272</v>
      </c>
      <c r="C23" s="90" t="s">
        <v>240</v>
      </c>
      <c r="D23" s="89" t="s">
        <v>273</v>
      </c>
    </row>
    <row r="24" spans="1:4" ht="29.5" thickBot="1" x14ac:dyDescent="0.4">
      <c r="A24" s="88" t="s">
        <v>274</v>
      </c>
      <c r="B24" s="92" t="s">
        <v>275</v>
      </c>
      <c r="C24" s="90"/>
      <c r="D24" s="89" t="s">
        <v>276</v>
      </c>
    </row>
    <row r="25" spans="1:4" ht="29.5" thickBot="1" x14ac:dyDescent="0.4">
      <c r="A25" s="88" t="s">
        <v>277</v>
      </c>
      <c r="B25" s="92" t="s">
        <v>278</v>
      </c>
      <c r="C25" s="90" t="s">
        <v>279</v>
      </c>
      <c r="D25" s="89" t="s">
        <v>280</v>
      </c>
    </row>
    <row r="26" spans="1:4" ht="15.5" x14ac:dyDescent="0.35">
      <c r="A26" s="81"/>
    </row>
    <row r="27" spans="1:4" ht="15.5" x14ac:dyDescent="0.35">
      <c r="A27" s="81" t="s">
        <v>281</v>
      </c>
    </row>
    <row r="28" spans="1:4" x14ac:dyDescent="0.35">
      <c r="A28" s="93" t="s">
        <v>282</v>
      </c>
    </row>
    <row r="29" spans="1:4" x14ac:dyDescent="0.35">
      <c r="A29" s="93" t="s">
        <v>283</v>
      </c>
    </row>
    <row r="30" spans="1:4" ht="15.5" x14ac:dyDescent="0.35">
      <c r="A30" s="81" t="s">
        <v>284</v>
      </c>
    </row>
  </sheetData>
  <mergeCells count="16">
    <mergeCell ref="A4:A6"/>
    <mergeCell ref="B4:B6"/>
    <mergeCell ref="C4:C6"/>
    <mergeCell ref="D4:D6"/>
    <mergeCell ref="A7:A8"/>
    <mergeCell ref="B7:B8"/>
    <mergeCell ref="C7:C8"/>
    <mergeCell ref="D7:D8"/>
    <mergeCell ref="A9:A10"/>
    <mergeCell ref="B9:B10"/>
    <mergeCell ref="C9:C10"/>
    <mergeCell ref="D9:D10"/>
    <mergeCell ref="A11:A12"/>
    <mergeCell ref="B11:B12"/>
    <mergeCell ref="C11:C12"/>
    <mergeCell ref="D11:D12"/>
  </mergeCells>
  <hyperlinks>
    <hyperlink ref="B20" r:id="rId1" xr:uid="{283C1442-BA51-4F69-B5D0-DFF197C8D538}"/>
    <hyperlink ref="B21" r:id="rId2" xr:uid="{269CB001-7100-42B1-AD0D-7420A2ED29C5}"/>
    <hyperlink ref="B22" r:id="rId3" location="overview" display="https://cognizant.udemy.com/course/github-copilot-the-complete-guide/ - overview" xr:uid="{4693D009-E025-40D0-B5E1-616769EC8BDF}"/>
    <hyperlink ref="B23" r:id="rId4" xr:uid="{FB37F4A7-A3CB-4FF0-BB9F-E70570588AF4}"/>
    <hyperlink ref="B24" r:id="rId5" tooltip="https://docs.github.com/en/copilot/tutorials/copilot-chat-cookbook" xr:uid="{1267B4D0-C8A1-47BD-BA5C-417D3305E231}"/>
    <hyperlink ref="B25" r:id="rId6" xr:uid="{FFDACAFF-A010-49BF-B771-776E6F6DE227}"/>
    <hyperlink ref="A28" r:id="rId7" display="https://cognizantonline.sharepoint.com/:f:/r/sites/GTP-Solutions/Gencsharepath/Shared Documents/Internship 2025/Gen AI_UseCasesForAllTracks/Core Use Cases?csf=1&amp;web=1&amp;e=ayjWhK" xr:uid="{D7E60F1F-ACDB-44CD-80B7-A4192A228695}"/>
    <hyperlink ref="A29" r:id="rId8" display="https://cognizantonline.sharepoint.com/:b:/r/sites/GTP-Solutions/Gencsharepath/Shared Documents/Internship 2025/Gen AI_UseCasesForAllTracks/GitHub Copilot Usage Guidelines.pdf?csf=1&amp;web=1&amp;e=c2Uq5E" xr:uid="{01AD17D9-DFCB-4D44-BFCB-BB95D627E85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F5227-9A05-4125-BF82-14462541040F}">
  <sheetPr>
    <tabColor rgb="FF00B0F0"/>
  </sheetPr>
  <dimension ref="A1:F129"/>
  <sheetViews>
    <sheetView workbookViewId="0">
      <selection activeCell="G7" sqref="G7"/>
    </sheetView>
  </sheetViews>
  <sheetFormatPr defaultRowHeight="14.5" x14ac:dyDescent="0.35"/>
  <cols>
    <col min="1" max="1" width="10.453125" customWidth="1"/>
    <col min="2" max="2" width="49" bestFit="1" customWidth="1"/>
    <col min="3" max="3" width="11.453125" customWidth="1"/>
    <col min="4" max="4" width="75.453125" bestFit="1" customWidth="1"/>
  </cols>
  <sheetData>
    <row r="1" spans="1:6" s="9" customFormat="1" ht="60" customHeight="1" x14ac:dyDescent="0.35">
      <c r="A1" s="171" t="s">
        <v>180</v>
      </c>
      <c r="B1" s="172"/>
      <c r="C1" s="172"/>
      <c r="D1" s="172"/>
      <c r="E1" s="172"/>
    </row>
    <row r="2" spans="1:6" ht="52" x14ac:dyDescent="0.35">
      <c r="A2" s="119" t="s">
        <v>285</v>
      </c>
      <c r="B2" s="119" t="s">
        <v>7</v>
      </c>
      <c r="C2" s="119" t="s">
        <v>286</v>
      </c>
      <c r="D2" s="119" t="s">
        <v>287</v>
      </c>
      <c r="E2" s="119" t="s">
        <v>288</v>
      </c>
      <c r="F2" s="119" t="s">
        <v>289</v>
      </c>
    </row>
    <row r="3" spans="1:6" x14ac:dyDescent="0.35">
      <c r="A3" s="120" t="s">
        <v>290</v>
      </c>
      <c r="B3" s="120" t="s">
        <v>290</v>
      </c>
      <c r="C3" s="120" t="s">
        <v>291</v>
      </c>
      <c r="D3" s="121" t="s">
        <v>292</v>
      </c>
      <c r="E3" s="120">
        <v>11</v>
      </c>
      <c r="F3" s="120" t="s">
        <v>240</v>
      </c>
    </row>
    <row r="4" spans="1:6" x14ac:dyDescent="0.35">
      <c r="B4" s="122"/>
      <c r="C4" s="122"/>
      <c r="D4" s="123"/>
      <c r="E4" s="124"/>
      <c r="F4" s="124"/>
    </row>
    <row r="5" spans="1:6" x14ac:dyDescent="0.35">
      <c r="A5" s="190" t="s">
        <v>114</v>
      </c>
      <c r="B5" s="191"/>
      <c r="C5" s="191"/>
      <c r="D5" s="191"/>
    </row>
    <row r="6" spans="1:6" x14ac:dyDescent="0.35">
      <c r="A6" s="159" t="s">
        <v>293</v>
      </c>
      <c r="B6" s="160"/>
      <c r="C6" s="160"/>
      <c r="D6" s="160"/>
    </row>
    <row r="7" spans="1:6" s="71" customFormat="1" ht="29" x14ac:dyDescent="0.35">
      <c r="A7" s="125" t="s">
        <v>294</v>
      </c>
      <c r="B7" s="126" t="s">
        <v>295</v>
      </c>
      <c r="C7" s="126" t="s">
        <v>296</v>
      </c>
      <c r="D7" s="127" t="s">
        <v>297</v>
      </c>
    </row>
    <row r="8" spans="1:6" x14ac:dyDescent="0.35">
      <c r="A8" s="96">
        <v>1</v>
      </c>
      <c r="B8" s="187" t="s">
        <v>298</v>
      </c>
      <c r="C8" s="188"/>
      <c r="D8" s="189"/>
    </row>
    <row r="9" spans="1:6" x14ac:dyDescent="0.35">
      <c r="A9" s="96"/>
      <c r="B9" s="96"/>
      <c r="C9" s="96">
        <v>1</v>
      </c>
      <c r="D9" s="96" t="s">
        <v>299</v>
      </c>
    </row>
    <row r="10" spans="1:6" x14ac:dyDescent="0.35">
      <c r="A10" s="96">
        <v>2</v>
      </c>
      <c r="B10" s="187" t="s">
        <v>300</v>
      </c>
      <c r="C10" s="188"/>
      <c r="D10" s="189"/>
    </row>
    <row r="11" spans="1:6" x14ac:dyDescent="0.35">
      <c r="A11" s="96"/>
      <c r="B11" s="96"/>
      <c r="C11" s="96">
        <v>1</v>
      </c>
      <c r="D11" s="96" t="s">
        <v>301</v>
      </c>
    </row>
    <row r="12" spans="1:6" x14ac:dyDescent="0.35">
      <c r="A12" s="96"/>
      <c r="B12" s="96"/>
      <c r="C12" s="96">
        <v>2</v>
      </c>
      <c r="D12" s="96" t="s">
        <v>302</v>
      </c>
    </row>
    <row r="13" spans="1:6" x14ac:dyDescent="0.35">
      <c r="A13" s="96"/>
      <c r="B13" s="96"/>
      <c r="C13" s="96">
        <v>3</v>
      </c>
      <c r="D13" s="96" t="s">
        <v>303</v>
      </c>
    </row>
    <row r="14" spans="1:6" x14ac:dyDescent="0.35">
      <c r="A14" s="96">
        <v>3</v>
      </c>
      <c r="B14" s="128" t="s">
        <v>304</v>
      </c>
      <c r="C14" s="96"/>
      <c r="D14" s="96"/>
    </row>
    <row r="15" spans="1:6" x14ac:dyDescent="0.35">
      <c r="A15" s="96"/>
      <c r="B15" s="96"/>
      <c r="C15" s="96">
        <v>1</v>
      </c>
      <c r="D15" s="96" t="s">
        <v>305</v>
      </c>
    </row>
    <row r="16" spans="1:6" x14ac:dyDescent="0.35">
      <c r="A16" s="96"/>
      <c r="B16" s="96"/>
      <c r="C16" s="96">
        <v>2</v>
      </c>
      <c r="D16" s="96" t="s">
        <v>306</v>
      </c>
    </row>
    <row r="17" spans="1:4" x14ac:dyDescent="0.35">
      <c r="A17" s="96"/>
      <c r="B17" s="96"/>
      <c r="C17" s="96">
        <v>3</v>
      </c>
      <c r="D17" s="96" t="s">
        <v>307</v>
      </c>
    </row>
    <row r="18" spans="1:4" x14ac:dyDescent="0.35">
      <c r="A18" s="96">
        <v>4</v>
      </c>
      <c r="B18" s="187" t="s">
        <v>308</v>
      </c>
      <c r="C18" s="188"/>
      <c r="D18" s="189"/>
    </row>
    <row r="19" spans="1:4" x14ac:dyDescent="0.35">
      <c r="A19" s="96"/>
      <c r="B19" s="96"/>
      <c r="C19" s="96">
        <v>1</v>
      </c>
      <c r="D19" s="96" t="s">
        <v>309</v>
      </c>
    </row>
    <row r="20" spans="1:4" x14ac:dyDescent="0.35">
      <c r="A20" s="96"/>
      <c r="B20" s="96"/>
      <c r="C20" s="96">
        <v>2</v>
      </c>
      <c r="D20" s="96" t="s">
        <v>310</v>
      </c>
    </row>
    <row r="21" spans="1:4" x14ac:dyDescent="0.35">
      <c r="A21" s="96"/>
      <c r="B21" s="96"/>
      <c r="C21" s="96">
        <v>3</v>
      </c>
      <c r="D21" s="96" t="s">
        <v>311</v>
      </c>
    </row>
    <row r="22" spans="1:4" x14ac:dyDescent="0.35">
      <c r="A22" s="96">
        <v>5</v>
      </c>
      <c r="B22" s="128" t="s">
        <v>312</v>
      </c>
      <c r="C22" s="96"/>
      <c r="D22" s="96"/>
    </row>
    <row r="23" spans="1:4" ht="29" x14ac:dyDescent="0.35">
      <c r="A23" s="96"/>
      <c r="B23" s="96"/>
      <c r="C23" s="96"/>
      <c r="D23" s="129" t="s">
        <v>313</v>
      </c>
    </row>
    <row r="24" spans="1:4" x14ac:dyDescent="0.35">
      <c r="A24" s="96"/>
      <c r="B24" s="96"/>
      <c r="C24" s="96"/>
      <c r="D24" s="96"/>
    </row>
    <row r="25" spans="1:4" x14ac:dyDescent="0.35">
      <c r="A25" s="96"/>
      <c r="B25" s="96"/>
      <c r="C25" s="96">
        <v>1</v>
      </c>
      <c r="D25" s="96" t="s">
        <v>314</v>
      </c>
    </row>
    <row r="26" spans="1:4" x14ac:dyDescent="0.35">
      <c r="A26" s="96"/>
      <c r="B26" s="96"/>
      <c r="C26" s="96">
        <v>2</v>
      </c>
      <c r="D26" s="96" t="s">
        <v>315</v>
      </c>
    </row>
    <row r="27" spans="1:4" x14ac:dyDescent="0.35">
      <c r="A27" s="96"/>
      <c r="B27" s="96"/>
      <c r="C27" s="96">
        <v>3</v>
      </c>
      <c r="D27" s="96" t="s">
        <v>316</v>
      </c>
    </row>
    <row r="28" spans="1:4" x14ac:dyDescent="0.35">
      <c r="A28" s="96"/>
      <c r="B28" s="96"/>
      <c r="C28" s="96">
        <v>4</v>
      </c>
      <c r="D28" s="96" t="s">
        <v>317</v>
      </c>
    </row>
    <row r="29" spans="1:4" ht="29" x14ac:dyDescent="0.35">
      <c r="A29" s="96"/>
      <c r="B29" s="96"/>
      <c r="C29" s="96"/>
      <c r="D29" s="130" t="s">
        <v>318</v>
      </c>
    </row>
    <row r="30" spans="1:4" x14ac:dyDescent="0.35">
      <c r="A30" s="96"/>
      <c r="B30" s="187"/>
      <c r="C30" s="188"/>
      <c r="D30" s="189"/>
    </row>
    <row r="31" spans="1:4" x14ac:dyDescent="0.35">
      <c r="A31" s="96"/>
      <c r="B31" s="96"/>
      <c r="C31" s="96"/>
    </row>
    <row r="32" spans="1:4" x14ac:dyDescent="0.35">
      <c r="A32" s="96"/>
      <c r="B32" s="96"/>
      <c r="C32" s="96"/>
      <c r="D32" s="96"/>
    </row>
    <row r="33" spans="1:4" x14ac:dyDescent="0.35">
      <c r="A33" s="96"/>
      <c r="B33" s="96"/>
      <c r="C33" s="96"/>
      <c r="D33" s="96"/>
    </row>
    <row r="34" spans="1:4" x14ac:dyDescent="0.35">
      <c r="A34" s="96"/>
      <c r="B34" s="187"/>
      <c r="C34" s="188"/>
      <c r="D34" s="189"/>
    </row>
    <row r="35" spans="1:4" x14ac:dyDescent="0.35">
      <c r="A35" s="96"/>
      <c r="B35" s="96"/>
      <c r="C35" s="96"/>
      <c r="D35" s="96"/>
    </row>
    <row r="36" spans="1:4" x14ac:dyDescent="0.35">
      <c r="A36" s="96"/>
      <c r="B36" s="96"/>
      <c r="C36" s="96"/>
      <c r="D36" s="96"/>
    </row>
    <row r="37" spans="1:4" x14ac:dyDescent="0.35">
      <c r="A37" s="96"/>
      <c r="B37" s="96"/>
      <c r="C37" s="96"/>
      <c r="D37" s="96"/>
    </row>
    <row r="38" spans="1:4" x14ac:dyDescent="0.35">
      <c r="A38" s="96"/>
      <c r="B38" s="96"/>
      <c r="C38" s="96"/>
      <c r="D38" s="96"/>
    </row>
    <row r="39" spans="1:4" x14ac:dyDescent="0.35">
      <c r="A39" s="96"/>
      <c r="B39" s="96"/>
      <c r="C39" s="96"/>
      <c r="D39" s="96"/>
    </row>
    <row r="40" spans="1:4" x14ac:dyDescent="0.35">
      <c r="A40" s="96"/>
      <c r="B40" s="96"/>
      <c r="C40" s="96"/>
      <c r="D40" s="96"/>
    </row>
    <row r="41" spans="1:4" x14ac:dyDescent="0.35">
      <c r="A41" s="96"/>
      <c r="B41" s="96"/>
      <c r="C41" s="96"/>
      <c r="D41" s="96"/>
    </row>
    <row r="42" spans="1:4" x14ac:dyDescent="0.35">
      <c r="A42" s="96"/>
      <c r="B42" s="187"/>
      <c r="C42" s="188"/>
      <c r="D42" s="189"/>
    </row>
    <row r="43" spans="1:4" x14ac:dyDescent="0.35">
      <c r="A43" s="96"/>
      <c r="B43" s="96"/>
      <c r="C43" s="96"/>
      <c r="D43" s="96"/>
    </row>
    <row r="44" spans="1:4" x14ac:dyDescent="0.35">
      <c r="A44" s="96"/>
      <c r="B44" s="96"/>
      <c r="C44" s="96"/>
      <c r="D44" s="96"/>
    </row>
    <row r="45" spans="1:4" x14ac:dyDescent="0.35">
      <c r="A45" s="96"/>
      <c r="B45" s="96"/>
      <c r="C45" s="96"/>
      <c r="D45" s="96"/>
    </row>
    <row r="46" spans="1:4" x14ac:dyDescent="0.35">
      <c r="A46" s="96"/>
      <c r="B46" s="96"/>
      <c r="C46" s="96"/>
      <c r="D46" s="96"/>
    </row>
    <row r="47" spans="1:4" x14ac:dyDescent="0.35">
      <c r="A47" s="96"/>
      <c r="B47" s="96"/>
      <c r="C47" s="96"/>
      <c r="D47" s="96"/>
    </row>
    <row r="48" spans="1:4" x14ac:dyDescent="0.35">
      <c r="A48" s="96"/>
      <c r="B48" s="96"/>
      <c r="C48" s="96"/>
      <c r="D48" s="96"/>
    </row>
    <row r="49" spans="1:4" x14ac:dyDescent="0.35">
      <c r="A49" s="96"/>
      <c r="B49" s="96"/>
      <c r="C49" s="96"/>
      <c r="D49" s="96"/>
    </row>
    <row r="50" spans="1:4" x14ac:dyDescent="0.35">
      <c r="A50" s="96"/>
      <c r="B50" s="96"/>
      <c r="C50" s="96"/>
      <c r="D50" s="96"/>
    </row>
    <row r="51" spans="1:4" x14ac:dyDescent="0.35">
      <c r="A51" s="96"/>
      <c r="B51" s="96"/>
      <c r="C51" s="96"/>
      <c r="D51" s="96"/>
    </row>
    <row r="52" spans="1:4" x14ac:dyDescent="0.35">
      <c r="A52" s="96"/>
      <c r="B52" s="96"/>
      <c r="C52" s="96"/>
      <c r="D52" s="96"/>
    </row>
    <row r="53" spans="1:4" x14ac:dyDescent="0.35">
      <c r="A53" s="96"/>
      <c r="B53" s="96"/>
      <c r="C53" s="96"/>
      <c r="D53" s="96"/>
    </row>
    <row r="54" spans="1:4" x14ac:dyDescent="0.35">
      <c r="A54" s="96"/>
      <c r="B54" s="187"/>
      <c r="C54" s="188"/>
      <c r="D54" s="189"/>
    </row>
    <row r="55" spans="1:4" x14ac:dyDescent="0.35">
      <c r="A55" s="96"/>
      <c r="B55" s="96"/>
      <c r="C55" s="96"/>
      <c r="D55" s="96"/>
    </row>
    <row r="56" spans="1:4" x14ac:dyDescent="0.35">
      <c r="A56" s="96"/>
      <c r="B56" s="96"/>
      <c r="C56" s="96"/>
      <c r="D56" s="96"/>
    </row>
    <row r="57" spans="1:4" x14ac:dyDescent="0.35">
      <c r="A57" s="96"/>
      <c r="B57" s="96"/>
      <c r="C57" s="96"/>
      <c r="D57" s="96"/>
    </row>
    <row r="58" spans="1:4" x14ac:dyDescent="0.35">
      <c r="A58" s="96"/>
      <c r="B58" s="96"/>
      <c r="C58" s="96"/>
      <c r="D58" s="96"/>
    </row>
    <row r="59" spans="1:4" x14ac:dyDescent="0.35">
      <c r="A59" s="96"/>
      <c r="B59" s="96"/>
      <c r="C59" s="96"/>
      <c r="D59" s="96"/>
    </row>
    <row r="60" spans="1:4" x14ac:dyDescent="0.35">
      <c r="A60" s="96"/>
      <c r="B60" s="96"/>
      <c r="C60" s="96"/>
      <c r="D60" s="96"/>
    </row>
    <row r="61" spans="1:4" x14ac:dyDescent="0.35">
      <c r="A61" s="96"/>
      <c r="B61" s="96"/>
      <c r="C61" s="96"/>
      <c r="D61" s="96"/>
    </row>
    <row r="62" spans="1:4" x14ac:dyDescent="0.35">
      <c r="A62" s="96"/>
      <c r="B62" s="187"/>
      <c r="C62" s="188"/>
      <c r="D62" s="189"/>
    </row>
    <row r="63" spans="1:4" x14ac:dyDescent="0.35">
      <c r="A63" s="96"/>
      <c r="B63" s="96"/>
      <c r="C63" s="96"/>
      <c r="D63" s="96"/>
    </row>
    <row r="64" spans="1:4" x14ac:dyDescent="0.35">
      <c r="A64" s="96"/>
      <c r="B64" s="96"/>
      <c r="C64" s="96"/>
      <c r="D64" s="96"/>
    </row>
    <row r="65" spans="1:4" x14ac:dyDescent="0.35">
      <c r="A65" s="96"/>
      <c r="B65" s="96"/>
      <c r="C65" s="96"/>
      <c r="D65" s="96"/>
    </row>
    <row r="66" spans="1:4" x14ac:dyDescent="0.35">
      <c r="A66" s="96"/>
      <c r="B66" s="96"/>
      <c r="C66" s="96"/>
      <c r="D66" s="96"/>
    </row>
    <row r="67" spans="1:4" x14ac:dyDescent="0.35">
      <c r="A67" s="96"/>
      <c r="B67" s="96"/>
      <c r="C67" s="96"/>
      <c r="D67" s="96"/>
    </row>
    <row r="68" spans="1:4" x14ac:dyDescent="0.35">
      <c r="A68" s="96"/>
      <c r="B68" s="96"/>
      <c r="C68" s="96"/>
      <c r="D68" s="96"/>
    </row>
    <row r="69" spans="1:4" x14ac:dyDescent="0.35">
      <c r="A69" s="96"/>
      <c r="B69" s="96"/>
      <c r="C69" s="96"/>
      <c r="D69" s="96"/>
    </row>
    <row r="70" spans="1:4" x14ac:dyDescent="0.35">
      <c r="A70" s="96"/>
      <c r="B70" s="96"/>
      <c r="C70" s="96"/>
      <c r="D70" s="96"/>
    </row>
    <row r="71" spans="1:4" x14ac:dyDescent="0.35">
      <c r="A71" s="96"/>
      <c r="B71" s="96"/>
      <c r="C71" s="96"/>
      <c r="D71" s="96"/>
    </row>
    <row r="72" spans="1:4" x14ac:dyDescent="0.35">
      <c r="A72" s="96"/>
      <c r="B72" s="187"/>
      <c r="C72" s="188"/>
      <c r="D72" s="189"/>
    </row>
    <row r="73" spans="1:4" x14ac:dyDescent="0.35">
      <c r="A73" s="96"/>
      <c r="B73" s="96"/>
      <c r="C73" s="96"/>
      <c r="D73" s="96"/>
    </row>
    <row r="74" spans="1:4" x14ac:dyDescent="0.35">
      <c r="A74" s="96"/>
      <c r="B74" s="96"/>
      <c r="C74" s="96"/>
      <c r="D74" s="96"/>
    </row>
    <row r="75" spans="1:4" x14ac:dyDescent="0.35">
      <c r="A75" s="96"/>
      <c r="B75" s="96"/>
      <c r="C75" s="96"/>
      <c r="D75" s="96"/>
    </row>
    <row r="76" spans="1:4" x14ac:dyDescent="0.35">
      <c r="A76" s="96"/>
      <c r="B76" s="96"/>
      <c r="C76" s="96"/>
      <c r="D76" s="96"/>
    </row>
    <row r="77" spans="1:4" x14ac:dyDescent="0.35">
      <c r="A77" s="96"/>
      <c r="B77" s="96"/>
      <c r="C77" s="96"/>
      <c r="D77" s="96"/>
    </row>
    <row r="78" spans="1:4" x14ac:dyDescent="0.35">
      <c r="A78" s="96"/>
      <c r="B78" s="187"/>
      <c r="C78" s="188"/>
      <c r="D78" s="189"/>
    </row>
    <row r="79" spans="1:4" x14ac:dyDescent="0.35">
      <c r="A79" s="96"/>
      <c r="B79" s="96"/>
      <c r="C79" s="96"/>
      <c r="D79" s="96"/>
    </row>
    <row r="80" spans="1:4" x14ac:dyDescent="0.35">
      <c r="A80" s="96"/>
      <c r="B80" s="96"/>
      <c r="C80" s="96"/>
      <c r="D80" s="96"/>
    </row>
    <row r="81" spans="1:4" x14ac:dyDescent="0.35">
      <c r="A81" s="96"/>
      <c r="B81" s="96"/>
      <c r="C81" s="96"/>
      <c r="D81" s="96"/>
    </row>
    <row r="82" spans="1:4" x14ac:dyDescent="0.35">
      <c r="A82" s="96"/>
      <c r="B82" s="96"/>
      <c r="C82" s="96"/>
      <c r="D82" s="96"/>
    </row>
    <row r="83" spans="1:4" x14ac:dyDescent="0.35">
      <c r="A83" s="96"/>
      <c r="B83" s="96"/>
      <c r="C83" s="96"/>
      <c r="D83" s="96"/>
    </row>
    <row r="84" spans="1:4" x14ac:dyDescent="0.35">
      <c r="A84" s="96"/>
      <c r="B84" s="96"/>
      <c r="C84" s="96"/>
      <c r="D84" s="96"/>
    </row>
    <row r="85" spans="1:4" x14ac:dyDescent="0.35">
      <c r="A85" s="96"/>
      <c r="B85" s="96"/>
      <c r="C85" s="96"/>
      <c r="D85" s="96"/>
    </row>
    <row r="86" spans="1:4" x14ac:dyDescent="0.35">
      <c r="A86" s="96"/>
      <c r="B86" s="187"/>
      <c r="C86" s="188"/>
      <c r="D86" s="189"/>
    </row>
    <row r="87" spans="1:4" x14ac:dyDescent="0.35">
      <c r="A87" s="96"/>
      <c r="B87" s="96"/>
      <c r="C87" s="96"/>
      <c r="D87" s="96"/>
    </row>
    <row r="88" spans="1:4" x14ac:dyDescent="0.35">
      <c r="A88" s="96"/>
      <c r="B88" s="96"/>
      <c r="C88" s="96"/>
      <c r="D88" s="96"/>
    </row>
    <row r="89" spans="1:4" x14ac:dyDescent="0.35">
      <c r="A89" s="96"/>
      <c r="B89" s="96"/>
      <c r="C89" s="96"/>
      <c r="D89" s="96"/>
    </row>
    <row r="90" spans="1:4" x14ac:dyDescent="0.35">
      <c r="A90" s="96"/>
      <c r="B90" s="96"/>
      <c r="C90" s="96"/>
      <c r="D90" s="96"/>
    </row>
    <row r="91" spans="1:4" x14ac:dyDescent="0.35">
      <c r="A91" s="96"/>
      <c r="B91" s="96"/>
      <c r="C91" s="96"/>
      <c r="D91" s="96"/>
    </row>
    <row r="92" spans="1:4" x14ac:dyDescent="0.35">
      <c r="A92" s="96"/>
      <c r="B92" s="96"/>
      <c r="C92" s="96"/>
      <c r="D92" s="96"/>
    </row>
    <row r="93" spans="1:4" x14ac:dyDescent="0.35">
      <c r="A93" s="96"/>
      <c r="B93" s="96"/>
      <c r="C93" s="96"/>
      <c r="D93" s="96"/>
    </row>
    <row r="94" spans="1:4" x14ac:dyDescent="0.35">
      <c r="A94" s="96"/>
      <c r="B94" s="96"/>
      <c r="C94" s="96"/>
      <c r="D94" s="96"/>
    </row>
    <row r="95" spans="1:4" x14ac:dyDescent="0.35">
      <c r="A95" s="96"/>
      <c r="B95" s="96"/>
      <c r="C95" s="96"/>
      <c r="D95" s="96"/>
    </row>
    <row r="96" spans="1:4" x14ac:dyDescent="0.35">
      <c r="A96" s="96"/>
      <c r="B96" s="96"/>
      <c r="C96" s="96"/>
      <c r="D96" s="96"/>
    </row>
    <row r="97" spans="1:4" x14ac:dyDescent="0.35">
      <c r="A97" s="96"/>
      <c r="B97" s="96"/>
      <c r="C97" s="96"/>
      <c r="D97" s="96"/>
    </row>
    <row r="98" spans="1:4" x14ac:dyDescent="0.35">
      <c r="A98" s="96"/>
      <c r="B98" s="187"/>
      <c r="C98" s="188"/>
      <c r="D98" s="189"/>
    </row>
    <row r="99" spans="1:4" x14ac:dyDescent="0.35">
      <c r="A99" s="96"/>
      <c r="B99" s="96"/>
      <c r="C99" s="96"/>
      <c r="D99" s="96"/>
    </row>
    <row r="100" spans="1:4" x14ac:dyDescent="0.35">
      <c r="A100" s="96"/>
      <c r="B100" s="96"/>
      <c r="C100" s="96"/>
      <c r="D100" s="96"/>
    </row>
    <row r="101" spans="1:4" x14ac:dyDescent="0.35">
      <c r="A101" s="96"/>
      <c r="B101" s="96"/>
      <c r="C101" s="96"/>
      <c r="D101" s="96"/>
    </row>
    <row r="102" spans="1:4" x14ac:dyDescent="0.35">
      <c r="A102" s="96"/>
      <c r="B102" s="96"/>
      <c r="C102" s="96"/>
      <c r="D102" s="96"/>
    </row>
    <row r="103" spans="1:4" x14ac:dyDescent="0.35">
      <c r="A103" s="96"/>
      <c r="B103" s="96"/>
      <c r="C103" s="96"/>
      <c r="D103" s="96"/>
    </row>
    <row r="104" spans="1:4" x14ac:dyDescent="0.35">
      <c r="A104" s="96"/>
      <c r="B104" s="96"/>
      <c r="C104" s="96"/>
      <c r="D104" s="96"/>
    </row>
    <row r="105" spans="1:4" x14ac:dyDescent="0.35">
      <c r="A105" s="96"/>
      <c r="B105" s="96"/>
      <c r="C105" s="96"/>
      <c r="D105" s="96"/>
    </row>
    <row r="106" spans="1:4" x14ac:dyDescent="0.35">
      <c r="A106" s="96"/>
      <c r="B106" s="96"/>
      <c r="C106" s="96"/>
      <c r="D106" s="96"/>
    </row>
    <row r="107" spans="1:4" x14ac:dyDescent="0.35">
      <c r="A107" s="96"/>
      <c r="B107" s="96"/>
      <c r="C107" s="96"/>
      <c r="D107" s="96"/>
    </row>
    <row r="108" spans="1:4" x14ac:dyDescent="0.35">
      <c r="A108" s="96"/>
      <c r="B108" s="187"/>
      <c r="C108" s="188"/>
      <c r="D108" s="189"/>
    </row>
    <row r="109" spans="1:4" x14ac:dyDescent="0.35">
      <c r="A109" s="96"/>
      <c r="B109" s="96"/>
      <c r="C109" s="96"/>
      <c r="D109" s="96"/>
    </row>
    <row r="110" spans="1:4" x14ac:dyDescent="0.35">
      <c r="A110" s="96"/>
      <c r="B110" s="96"/>
      <c r="C110" s="96"/>
      <c r="D110" s="96"/>
    </row>
    <row r="111" spans="1:4" x14ac:dyDescent="0.35">
      <c r="A111" s="96"/>
      <c r="B111" s="96"/>
      <c r="C111" s="96"/>
      <c r="D111" s="96"/>
    </row>
    <row r="112" spans="1:4" x14ac:dyDescent="0.35">
      <c r="A112" s="96"/>
      <c r="B112" s="96"/>
      <c r="C112" s="96"/>
      <c r="D112" s="96"/>
    </row>
    <row r="113" spans="1:4" x14ac:dyDescent="0.35">
      <c r="A113" s="96"/>
      <c r="B113" s="96"/>
      <c r="C113" s="96"/>
      <c r="D113" s="96"/>
    </row>
    <row r="114" spans="1:4" x14ac:dyDescent="0.35">
      <c r="A114" s="96"/>
      <c r="B114" s="96"/>
      <c r="C114" s="96"/>
      <c r="D114" s="96"/>
    </row>
    <row r="115" spans="1:4" x14ac:dyDescent="0.35">
      <c r="A115" s="96"/>
      <c r="B115" s="96"/>
      <c r="C115" s="96"/>
      <c r="D115" s="96"/>
    </row>
    <row r="116" spans="1:4" x14ac:dyDescent="0.35">
      <c r="A116" s="96"/>
      <c r="B116" s="187"/>
      <c r="C116" s="188"/>
      <c r="D116" s="189"/>
    </row>
    <row r="117" spans="1:4" x14ac:dyDescent="0.35">
      <c r="A117" s="96"/>
      <c r="B117" s="96"/>
      <c r="C117" s="96"/>
      <c r="D117" s="96"/>
    </row>
    <row r="118" spans="1:4" x14ac:dyDescent="0.35">
      <c r="A118" s="96"/>
      <c r="B118" s="96"/>
      <c r="C118" s="96"/>
      <c r="D118" s="96"/>
    </row>
    <row r="119" spans="1:4" x14ac:dyDescent="0.35">
      <c r="A119" s="96"/>
      <c r="B119" s="96"/>
      <c r="C119" s="96"/>
      <c r="D119" s="96"/>
    </row>
    <row r="120" spans="1:4" x14ac:dyDescent="0.35">
      <c r="A120" s="96"/>
      <c r="B120" s="96"/>
      <c r="C120" s="96"/>
      <c r="D120" s="96"/>
    </row>
    <row r="121" spans="1:4" x14ac:dyDescent="0.35">
      <c r="A121" s="96"/>
      <c r="B121" s="96"/>
      <c r="C121" s="96"/>
      <c r="D121" s="96"/>
    </row>
    <row r="122" spans="1:4" x14ac:dyDescent="0.35">
      <c r="A122" s="96"/>
      <c r="B122" s="96"/>
      <c r="C122" s="96"/>
      <c r="D122" s="96"/>
    </row>
    <row r="123" spans="1:4" x14ac:dyDescent="0.35">
      <c r="A123" s="96"/>
      <c r="B123" s="187"/>
      <c r="C123" s="188"/>
      <c r="D123" s="189"/>
    </row>
    <row r="124" spans="1:4" x14ac:dyDescent="0.35">
      <c r="A124" s="96"/>
      <c r="B124" s="96"/>
      <c r="C124" s="96"/>
      <c r="D124" s="96"/>
    </row>
    <row r="125" spans="1:4" x14ac:dyDescent="0.35">
      <c r="A125" s="96"/>
      <c r="B125" s="96"/>
      <c r="C125" s="96"/>
      <c r="D125" s="96"/>
    </row>
    <row r="126" spans="1:4" x14ac:dyDescent="0.35">
      <c r="A126" s="96"/>
      <c r="B126" s="96"/>
      <c r="C126" s="96"/>
      <c r="D126" s="96"/>
    </row>
    <row r="127" spans="1:4" x14ac:dyDescent="0.35">
      <c r="A127" s="96"/>
      <c r="B127" s="96"/>
      <c r="C127" s="96"/>
      <c r="D127" s="96"/>
    </row>
    <row r="128" spans="1:4" x14ac:dyDescent="0.35">
      <c r="A128" s="96"/>
      <c r="B128" s="96"/>
      <c r="C128" s="96"/>
      <c r="D128" s="96"/>
    </row>
    <row r="129" spans="1:4" x14ac:dyDescent="0.35">
      <c r="A129" s="96"/>
      <c r="B129" s="96"/>
      <c r="C129" s="96"/>
      <c r="D129" s="96"/>
    </row>
  </sheetData>
  <mergeCells count="18">
    <mergeCell ref="A1:E1"/>
    <mergeCell ref="B78:D78"/>
    <mergeCell ref="A5:D5"/>
    <mergeCell ref="A6:D6"/>
    <mergeCell ref="B8:D8"/>
    <mergeCell ref="B10:D10"/>
    <mergeCell ref="B18:D18"/>
    <mergeCell ref="B30:D30"/>
    <mergeCell ref="B34:D34"/>
    <mergeCell ref="B42:D42"/>
    <mergeCell ref="B54:D54"/>
    <mergeCell ref="B62:D62"/>
    <mergeCell ref="B72:D72"/>
    <mergeCell ref="B86:D86"/>
    <mergeCell ref="B98:D98"/>
    <mergeCell ref="B108:D108"/>
    <mergeCell ref="B116:D116"/>
    <mergeCell ref="B123:D123"/>
  </mergeCells>
  <hyperlinks>
    <hyperlink ref="D3" r:id="rId1" xr:uid="{2998FCA3-554F-495D-AA6D-F42DDB46A06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4301A-F936-4D49-91D4-EB7C70920849}">
  <sheetPr>
    <tabColor rgb="FF0070C0"/>
  </sheetPr>
  <dimension ref="A1:D17"/>
  <sheetViews>
    <sheetView zoomScale="80" zoomScaleNormal="80" workbookViewId="0">
      <selection activeCell="D6" sqref="D6"/>
    </sheetView>
  </sheetViews>
  <sheetFormatPr defaultRowHeight="14.5" x14ac:dyDescent="0.35"/>
  <cols>
    <col min="1" max="1" width="55.26953125" customWidth="1"/>
    <col min="2" max="2" width="38.81640625" customWidth="1"/>
  </cols>
  <sheetData>
    <row r="1" spans="1:4" ht="35.15" customHeight="1" x14ac:dyDescent="0.35">
      <c r="A1" s="94" t="s">
        <v>319</v>
      </c>
      <c r="B1" s="94" t="s">
        <v>320</v>
      </c>
    </row>
    <row r="2" spans="1:4" x14ac:dyDescent="0.35">
      <c r="A2" s="103" t="s">
        <v>75</v>
      </c>
      <c r="B2" s="193" t="s">
        <v>321</v>
      </c>
    </row>
    <row r="3" spans="1:4" x14ac:dyDescent="0.35">
      <c r="A3" s="103" t="s">
        <v>75</v>
      </c>
      <c r="B3" s="194"/>
    </row>
    <row r="4" spans="1:4" x14ac:dyDescent="0.35">
      <c r="A4" s="103" t="s">
        <v>22</v>
      </c>
      <c r="B4" s="194"/>
    </row>
    <row r="5" spans="1:4" x14ac:dyDescent="0.35">
      <c r="A5" s="103" t="s">
        <v>87</v>
      </c>
      <c r="B5" s="194"/>
    </row>
    <row r="6" spans="1:4" x14ac:dyDescent="0.35">
      <c r="A6" s="103" t="s">
        <v>89</v>
      </c>
      <c r="B6" s="194"/>
    </row>
    <row r="7" spans="1:4" x14ac:dyDescent="0.35">
      <c r="A7" s="103" t="s">
        <v>93</v>
      </c>
      <c r="B7" s="194"/>
    </row>
    <row r="8" spans="1:4" x14ac:dyDescent="0.35">
      <c r="A8" s="103" t="s">
        <v>37</v>
      </c>
      <c r="B8" s="194"/>
    </row>
    <row r="9" spans="1:4" x14ac:dyDescent="0.35">
      <c r="A9" s="103" t="s">
        <v>95</v>
      </c>
      <c r="B9" s="194"/>
    </row>
    <row r="10" spans="1:4" x14ac:dyDescent="0.35">
      <c r="A10" s="103" t="s">
        <v>43</v>
      </c>
      <c r="B10" s="194"/>
    </row>
    <row r="11" spans="1:4" x14ac:dyDescent="0.35">
      <c r="A11" s="103" t="s">
        <v>46</v>
      </c>
      <c r="B11" s="195"/>
    </row>
    <row r="12" spans="1:4" x14ac:dyDescent="0.35">
      <c r="A12" s="95" t="s">
        <v>99</v>
      </c>
      <c r="B12" s="96" t="s">
        <v>322</v>
      </c>
    </row>
    <row r="13" spans="1:4" x14ac:dyDescent="0.35">
      <c r="A13" s="95" t="s">
        <v>323</v>
      </c>
      <c r="B13" s="96" t="s">
        <v>102</v>
      </c>
    </row>
    <row r="15" spans="1:4" ht="130.5" customHeight="1" x14ac:dyDescent="0.35">
      <c r="A15" s="192" t="s">
        <v>324</v>
      </c>
      <c r="B15" s="192"/>
      <c r="C15" s="192"/>
      <c r="D15" s="192"/>
    </row>
    <row r="17" spans="1:1" x14ac:dyDescent="0.35">
      <c r="A17" s="97"/>
    </row>
  </sheetData>
  <mergeCells count="2">
    <mergeCell ref="A15:D15"/>
    <mergeCell ref="B2:B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9D2F5-BCA7-41D1-BA64-C6C89123F505}">
  <sheetPr>
    <tabColor rgb="FF7030A0"/>
  </sheetPr>
  <dimension ref="A1:D20"/>
  <sheetViews>
    <sheetView workbookViewId="0">
      <selection activeCell="G5" sqref="G5"/>
    </sheetView>
  </sheetViews>
  <sheetFormatPr defaultRowHeight="14.5" x14ac:dyDescent="0.35"/>
  <cols>
    <col min="1" max="1" width="32.54296875" bestFit="1" customWidth="1"/>
    <col min="2" max="2" width="33.453125" bestFit="1" customWidth="1"/>
    <col min="3" max="3" width="45.1796875" bestFit="1" customWidth="1"/>
    <col min="4" max="4" width="9.7265625" bestFit="1" customWidth="1"/>
  </cols>
  <sheetData>
    <row r="1" spans="1:4" s="99" customFormat="1" ht="15.5" x14ac:dyDescent="0.35">
      <c r="A1" s="98" t="s">
        <v>325</v>
      </c>
      <c r="B1" s="98" t="s">
        <v>326</v>
      </c>
      <c r="C1" s="98" t="s">
        <v>327</v>
      </c>
      <c r="D1" s="98" t="s">
        <v>328</v>
      </c>
    </row>
    <row r="2" spans="1:4" x14ac:dyDescent="0.35">
      <c r="A2" s="100" t="s">
        <v>329</v>
      </c>
      <c r="B2" s="100" t="s">
        <v>330</v>
      </c>
      <c r="C2" s="100" t="s">
        <v>331</v>
      </c>
      <c r="D2" s="100">
        <v>2</v>
      </c>
    </row>
    <row r="3" spans="1:4" x14ac:dyDescent="0.35">
      <c r="A3" s="100" t="s">
        <v>329</v>
      </c>
      <c r="B3" s="100" t="s">
        <v>332</v>
      </c>
      <c r="C3" s="100" t="s">
        <v>333</v>
      </c>
      <c r="D3" s="100">
        <v>2</v>
      </c>
    </row>
    <row r="4" spans="1:4" x14ac:dyDescent="0.35">
      <c r="A4" s="100" t="s">
        <v>334</v>
      </c>
      <c r="B4" s="100" t="s">
        <v>335</v>
      </c>
      <c r="C4" s="100" t="s">
        <v>336</v>
      </c>
      <c r="D4" s="100">
        <v>2</v>
      </c>
    </row>
    <row r="5" spans="1:4" x14ac:dyDescent="0.35">
      <c r="A5" s="100" t="s">
        <v>334</v>
      </c>
      <c r="B5" s="100" t="s">
        <v>332</v>
      </c>
      <c r="C5" s="100" t="s">
        <v>337</v>
      </c>
      <c r="D5" s="100">
        <v>2</v>
      </c>
    </row>
    <row r="6" spans="1:4" x14ac:dyDescent="0.35">
      <c r="A6" s="100" t="s">
        <v>338</v>
      </c>
      <c r="B6" s="100" t="s">
        <v>330</v>
      </c>
      <c r="C6" s="100" t="s">
        <v>339</v>
      </c>
      <c r="D6" s="100">
        <v>2</v>
      </c>
    </row>
    <row r="7" spans="1:4" x14ac:dyDescent="0.35">
      <c r="A7" s="100" t="s">
        <v>338</v>
      </c>
      <c r="B7" s="100" t="s">
        <v>340</v>
      </c>
      <c r="C7" s="100" t="s">
        <v>341</v>
      </c>
      <c r="D7" s="100">
        <v>2</v>
      </c>
    </row>
    <row r="8" spans="1:4" x14ac:dyDescent="0.35">
      <c r="A8" s="100" t="s">
        <v>342</v>
      </c>
      <c r="B8" s="100" t="s">
        <v>332</v>
      </c>
      <c r="C8" s="100" t="s">
        <v>343</v>
      </c>
      <c r="D8" s="100">
        <v>2</v>
      </c>
    </row>
    <row r="9" spans="1:4" x14ac:dyDescent="0.35">
      <c r="A9" s="100" t="s">
        <v>342</v>
      </c>
      <c r="B9" s="100" t="s">
        <v>344</v>
      </c>
      <c r="C9" s="100" t="s">
        <v>345</v>
      </c>
      <c r="D9" s="100">
        <v>2</v>
      </c>
    </row>
    <row r="10" spans="1:4" x14ac:dyDescent="0.35">
      <c r="A10" s="100" t="s">
        <v>346</v>
      </c>
      <c r="B10" s="100" t="s">
        <v>347</v>
      </c>
      <c r="C10" s="100" t="s">
        <v>348</v>
      </c>
      <c r="D10" s="100">
        <v>2</v>
      </c>
    </row>
    <row r="11" spans="1:4" x14ac:dyDescent="0.35">
      <c r="A11" s="100"/>
      <c r="B11" s="100" t="s">
        <v>349</v>
      </c>
      <c r="C11" s="100" t="s">
        <v>348</v>
      </c>
      <c r="D11" s="100">
        <v>4</v>
      </c>
    </row>
    <row r="12" spans="1:4" x14ac:dyDescent="0.35">
      <c r="A12" s="100" t="s">
        <v>350</v>
      </c>
      <c r="B12" s="100" t="s">
        <v>344</v>
      </c>
      <c r="C12" s="100" t="s">
        <v>351</v>
      </c>
      <c r="D12" s="100">
        <v>2</v>
      </c>
    </row>
    <row r="13" spans="1:4" x14ac:dyDescent="0.35">
      <c r="A13" s="100" t="s">
        <v>352</v>
      </c>
      <c r="B13" s="100" t="s">
        <v>340</v>
      </c>
      <c r="C13" s="100" t="s">
        <v>353</v>
      </c>
      <c r="D13" s="100">
        <v>2</v>
      </c>
    </row>
    <row r="14" spans="1:4" x14ac:dyDescent="0.35">
      <c r="A14" s="100" t="s">
        <v>352</v>
      </c>
      <c r="B14" s="100" t="s">
        <v>332</v>
      </c>
      <c r="C14" s="100" t="s">
        <v>354</v>
      </c>
      <c r="D14" s="100">
        <v>2</v>
      </c>
    </row>
    <row r="15" spans="1:4" x14ac:dyDescent="0.35">
      <c r="A15" s="100" t="s">
        <v>355</v>
      </c>
      <c r="B15" s="100" t="s">
        <v>344</v>
      </c>
      <c r="C15" s="100" t="s">
        <v>345</v>
      </c>
      <c r="D15" s="100">
        <v>2</v>
      </c>
    </row>
    <row r="16" spans="1:4" x14ac:dyDescent="0.35">
      <c r="A16" s="100" t="s">
        <v>355</v>
      </c>
      <c r="B16" s="100" t="s">
        <v>344</v>
      </c>
      <c r="C16" s="100" t="s">
        <v>356</v>
      </c>
      <c r="D16" s="100">
        <v>2</v>
      </c>
    </row>
    <row r="17" spans="1:4" x14ac:dyDescent="0.35">
      <c r="A17" s="100" t="s">
        <v>357</v>
      </c>
      <c r="B17" s="100" t="s">
        <v>332</v>
      </c>
      <c r="C17" s="100" t="s">
        <v>358</v>
      </c>
      <c r="D17" s="100">
        <v>2</v>
      </c>
    </row>
    <row r="18" spans="1:4" x14ac:dyDescent="0.35">
      <c r="A18" s="100" t="s">
        <v>359</v>
      </c>
      <c r="B18" s="100" t="s">
        <v>360</v>
      </c>
      <c r="C18" s="100" t="s">
        <v>361</v>
      </c>
      <c r="D18" s="100">
        <v>2</v>
      </c>
    </row>
    <row r="19" spans="1:4" x14ac:dyDescent="0.35">
      <c r="A19" s="100"/>
      <c r="B19" s="100" t="s">
        <v>362</v>
      </c>
      <c r="C19" s="101" t="s">
        <v>363</v>
      </c>
      <c r="D19" s="101">
        <v>3</v>
      </c>
    </row>
    <row r="20" spans="1:4" x14ac:dyDescent="0.35">
      <c r="C20" s="102" t="s">
        <v>364</v>
      </c>
      <c r="D20" s="102">
        <f>SUM(D2:D19)</f>
        <v>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D22D39-1E57-4544-8F75-EAFCA36B09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197900-E7A1-4803-978E-1457C3088916}">
  <ds:schemaRefs>
    <ds:schemaRef ds:uri="http://purl.org/dc/elements/1.1/"/>
    <ds:schemaRef ds:uri="http://schemas.microsoft.com/office/2006/metadata/properties"/>
    <ds:schemaRef ds:uri="c6f516c4-2602-422c-aa9a-755893ba4f98"/>
    <ds:schemaRef ds:uri="http://schemas.microsoft.com/office/2006/documentManagement/types"/>
    <ds:schemaRef ds:uri="3c35e321-f73a-4dae-ae38-a0459de24735"/>
    <ds:schemaRef ds:uri="http://purl.org/dc/terms/"/>
    <ds:schemaRef ds:uri="951c5514-b77c-4532-82d5-a05f2f7d58e2"/>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ABECECCA-E108-41C9-B0A0-8DC45C91F2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Performance Outcome</vt:lpstr>
      <vt:lpstr>About Curriculum</vt:lpstr>
      <vt:lpstr>AWS Core Module list</vt:lpstr>
      <vt:lpstr>TOC_Stage1</vt:lpstr>
      <vt:lpstr>TOC_Stage 2</vt:lpstr>
      <vt:lpstr>TOC_Python</vt:lpstr>
      <vt:lpstr>AI Accelerate - Coverage</vt:lpstr>
      <vt:lpstr>TOC_ITIL</vt:lpstr>
      <vt:lpstr>TOC_Git Hub copilot </vt:lpstr>
      <vt:lpstr>TOC_AI Agents</vt:lpstr>
      <vt:lpstr>Software Req</vt:lpstr>
      <vt:lpstr>BH Training</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Sangeetha, Mandala (Cognizant)</dc:creator>
  <cp:keywords/>
  <dc:description/>
  <cp:lastModifiedBy>Bhatt, Aryan (Cognizant)</cp:lastModifiedBy>
  <cp:revision/>
  <dcterms:created xsi:type="dcterms:W3CDTF">2022-07-05T05:14:20Z</dcterms:created>
  <dcterms:modified xsi:type="dcterms:W3CDTF">2026-03-11T08:59:49Z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