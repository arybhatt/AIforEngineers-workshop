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07889_cognizant_com/Documents/Microsoft Teams Chat Files/"/>
    </mc:Choice>
  </mc:AlternateContent>
  <xr:revisionPtr revIDLastSave="2" documentId="13_ncr:1_{26ABC2ED-5CDB-4C04-B1E2-7C75BB5BB554}" xr6:coauthVersionLast="47" xr6:coauthVersionMax="47" xr10:uidLastSave="{38B105DA-6155-4D6F-B822-9E5FAF87396C}"/>
  <bookViews>
    <workbookView xWindow="-110" yWindow="-110" windowWidth="19420" windowHeight="10300" firstSheet="1" activeTab="1" xr2:uid="{00000000-000D-0000-FFFF-FFFF00000000}"/>
  </bookViews>
  <sheets>
    <sheet name="Curriculum Tracker" sheetId="1" r:id="rId1"/>
    <sheet name="Sheet1" sheetId="2" r:id="rId2"/>
  </sheets>
  <definedNames>
    <definedName name="_xlnm._FilterDatabase" localSheetId="0" hidden="1">'Curriculum Tracker'!$A$1:$H$13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2" l="1"/>
  <c r="E26" i="2" s="1"/>
  <c r="E27" i="2" s="1"/>
  <c r="F2" i="2"/>
  <c r="D25" i="2" l="1"/>
  <c r="D26" i="2" s="1"/>
  <c r="D27" i="2" s="1"/>
</calcChain>
</file>

<file path=xl/sharedStrings.xml><?xml version="1.0" encoding="utf-8"?>
<sst xmlns="http://schemas.openxmlformats.org/spreadsheetml/2006/main" count="210" uniqueCount="110">
  <si>
    <t>S. No.</t>
  </si>
  <si>
    <t>Track / Category</t>
  </si>
  <si>
    <t>Module Name</t>
  </si>
  <si>
    <t>Content / Topics Covered</t>
  </si>
  <si>
    <t>Labs / Activities</t>
  </si>
  <si>
    <t>Hours</t>
  </si>
  <si>
    <t>Days</t>
  </si>
  <si>
    <t>Delivery Type</t>
  </si>
  <si>
    <t>AWS &amp; Cloud Foundation</t>
  </si>
  <si>
    <t>AWS Foundational Discussion</t>
  </si>
  <si>
    <t>• Cloud basics: public cloud, private cloud, hybrid cloud
• AWS global setup: Region, Availability Zone, edge location
• Service models: IaaS, PaaS, SaaS with simple examples
• Shared responsibility model: AWS responsibility vs learner responsibility
• IAM basics: account, user, group, role, policy
• Core service preview: EC2, S3, VPC, IAM, CloudWatch
• Billing basics: Free Tier, budgets, alerts, cleanup habits
• Console and AWS CLI orientation</t>
  </si>
  <si>
    <t>☑ Lab 1: Configure AWS CLI and verify identity using sts get-caller-identity
☑ Lab 2: Create a budget alert and identify billing, IAM, EC2, S3, and cleanup areas</t>
  </si>
  <si>
    <t>Day 1</t>
  </si>
  <si>
    <t>ILT/VILT</t>
  </si>
  <si>
    <t>AWS Application Integration</t>
  </si>
  <si>
    <t>Event-Driven Architecture with SNS, SQS &amp; EventBridge</t>
  </si>
  <si>
    <t>• Event-driven idea: one service sends an event, another service reacts
• Basic terms: producer, consumer, event, queue, topic, rule, target
• SQS basics: Standard queue, send message, receive message, delete message
• SNS basics: topic, subscription, publish message, email or SQS subscriber
• SNS fan-out: one message can go to more than one subscriber
• EventBridge basics: event bus, event pattern, rule, target
• DLQ basics: keep failed messages for later checking
• CloudWatch basics: verify logs, metrics, and cleanup resources</t>
  </si>
  <si>
    <t>☑ Lab 3: Create one SQS Standard queue, send/receive/delete one message, and delete the queue
☑ Lab 4: Create one SNS topic with email or SQS subscription, publish one message, verify delivery, and delete resources</t>
  </si>
  <si>
    <t>Day 2 – 4</t>
  </si>
  <si>
    <t>AWS Serverless</t>
  </si>
  <si>
    <t>Amazon API Gateway</t>
  </si>
  <si>
    <t>• API basics: client, endpoint, route, method, response
• HTTP API vs REST API at a simple decision level
• Lambda integration: API calls trigger backend code
• CORS concept at awareness level
• CloudWatch logs and cleanup after testing</t>
  </si>
  <si>
    <t>☑ Lab 5: Create a simple Lambda hello function and expose it with an HTTP API route
☑ Lab 6: Test the API from browser or curl, check CloudWatch logs, and delete API/Lambda resources</t>
  </si>
  <si>
    <t>Day 5 – 6</t>
  </si>
  <si>
    <t>AWS Lambda</t>
  </si>
  <si>
    <t>• Serverless idea: run code without managing servers
• Lambda basics: function, runtime, handler, event, response
• IAM execution role: minimum permissions needed by the function
• Triggers overview: API Gateway, S3, SNS, SQS, EventBridge
• CloudWatch logs: print, test, troubleshoot
• Timeout and memory basics
• Cleanup habits to avoid unwanted charges</t>
  </si>
  <si>
    <t>☑ Lab 7: Create a Python Lambda hello function, run a test event, and inspect CloudWatch logs
☑ Lab 8: Configure a small S3 trigger for text-file upload, verify Lambda log output, and clean up resources</t>
  </si>
  <si>
    <t>Day 7 – 9</t>
  </si>
  <si>
    <t>AWS Step Functions</t>
  </si>
  <si>
    <t>• Workflow idea: connect multiple steps in one visible flow
• State machine basics: StartAt, States, Input, Output
• Basic states: Pass, Task, Choice, Wait, Succeed, Fail
• Lambda task state: call one function from a workflow
• Execution history: see what happened step by step</t>
  </si>
  <si>
    <t>☑ Lab 9: Build a Pass + Choice state machine using sample JSON and review execution history
☑ Lab 10: Call one Lambda function from Step Functions, add Retry/Catch, test, and delete resources</t>
  </si>
  <si>
    <t>Day 10 – 12</t>
  </si>
  <si>
    <t>AWS Data Services</t>
  </si>
  <si>
    <t>AWS Glue — ETL &amp; Data Catalog</t>
  </si>
  <si>
    <t>• ETL basics: extract data, transform data, load output
• S3 data layout: raw folder and processed folder
• Glue Data Catalog: database, table, schema, metadata
• Crawler concept: scans data and creates table metadata
• Glue Studio concept: visual source, transform, target flow
• Cost safety: keep data tiny, prefer catalog-only practice, delete test objects</t>
  </si>
  <si>
    <t>☑ Lab 11: Create one Glue database and manual table schema for a tiny CSV sample
☑ Lab 12: Create a Glue Studio visual job draft with source, one transform, and target; run only if trainer approves cost</t>
  </si>
  <si>
    <t>Day 13 – 15</t>
  </si>
  <si>
    <t>AWS Containers</t>
  </si>
  <si>
    <t>Containers on AWS — Docker &amp; Amazon ECR</t>
  </si>
  <si>
    <t>• Container basics: image, container, Dockerfile, registry
• Docker run basics: pull image, run container, stop container
• Dockerfile basics: base image, copy files, expose port, command
• ECR basics: repository, image tag, push, pull
• Image hygiene: small image, clear tag, no secrets in image
• Scan concept: check image for known issues
• Cleanup: remove local images and delete test repository if created</t>
  </si>
  <si>
    <t>☑ Lab 13: Run a public Nginx container locally, open the page, stop the container, and remove it
☑ Lab 14: Build a tiny static web image locally and optionally push to ECR if trainer account permits</t>
  </si>
  <si>
    <t>Day 16 – 17</t>
  </si>
  <si>
    <t>Amazon ECS &amp; AWS Fargate</t>
  </si>
  <si>
    <t>• ECS basics: cluster, task definition, task, service
• Fargate idea: run containers without managing EC2 servers
• Task definition basics: image, CPU, memory, port, environment variable
• Networking basics: subnet, security group, public IP, container port
• Service basics: desired count and task replacement
• CloudWatch logs for container output
• Cost safety: review settings first; run tasks only under trainer approval</t>
  </si>
  <si>
    <t>☑ Lab 15: Create an ECS cluster and Fargate task definition using a public Nginx image; review settings only
☑ Lab 16: Map Docker concepts to ECS fields: image, port, CPU/memory, logs, security group, cleanup steps</t>
  </si>
  <si>
    <t>Day 18 – 20</t>
  </si>
  <si>
    <t>Amazon EKS &amp; Kubernetes on AWS</t>
  </si>
  <si>
    <t>• Kubernetes recap: pod, deployment, service, namespace
• EKS idea: AWS-managed Kubernetes control plane
• Worker options: managed nodes and Fargate profile awareness
• kubectl basics: get, describe, logs, apply, delete
• Service exposure concept: ClusterIP, LoadBalancer, Ingress overview
• Config basics: ConfigMap and Secret awareness
• Cost safety: do not create an EKS cluster in personal Free Tier account</t>
  </si>
  <si>
    <t>☑ Lab 17:  deploy Nginx and expose it with a basic service
☑ Lab 18: Open the EKS create-cluster wizard for walkthrough, identify required fields, and cancel before creation</t>
  </si>
  <si>
    <t>Day 21 – 23</t>
  </si>
  <si>
    <t>AWS AI &amp; Modernization</t>
  </si>
  <si>
    <t>AWS AI Services &amp; AWS Transform Basics</t>
  </si>
  <si>
    <t>• AI/ML/GenAI terms: simple definitions and use cases
• Bedrock basics: foundation model, prompt, response, guardrail awareness
• Amazon Q overview: business and developer assistant use cases
• AI services overview: Textract, Comprehend, Transcribe, Polly, Translate, Rekognition
• AWS Transform idea: AI-assisted modernization discussion
• Modernization keywords: assess, plan, transform, validate
• Responsible AI basics: privacy, human review, accuracy check</t>
  </si>
  <si>
    <t>Day 24 – 25</t>
  </si>
  <si>
    <t>Python &amp; AWS Automation</t>
  </si>
  <si>
    <t>Python for AWS Automation — Intermediate</t>
  </si>
  <si>
    <t>• Python fundamentals: variables, data types, operators
• Strings and collections: lists, tuples, sets, dictionaries
• Conditional statements and loops
• Functions: parameters, return values, scope
• File handling: read and write text files
• Working with JSON and simple config files
• Modules, packages, virtual environments, and pip basics
• Object-Oriented Programming: class, object, method
• Exception handling: try, except, finally
• Logging fundamentals for automation scripts
• Boto3 basics: client, resource, region, credentials
• S3 automation: list bucket, upload file, download file, delete file
• Lambda automation: invoke function and read response
• Debugging and cleanup best practices</t>
  </si>
  <si>
    <t>☑ Lab 19: Create a Python script that reads JSON, processes lists/dictionaries, and writes output to a file
☑ Lab 20: Create a Boto3 script to list S3 buckets and upload/download one small file</t>
  </si>
  <si>
    <t>Day 26 – 30</t>
  </si>
  <si>
    <t>TOTAL</t>
  </si>
  <si>
    <t>Complete Curriculum Duration</t>
  </si>
  <si>
    <t>27 Days</t>
  </si>
  <si>
    <t>7.02 Weeks</t>
  </si>
  <si>
    <t xml:space="preserve">Stage </t>
  </si>
  <si>
    <t>Course  Segment</t>
  </si>
  <si>
    <t>Course/Module</t>
  </si>
  <si>
    <t>Duration in hrs</t>
  </si>
  <si>
    <t>Duration in hrs [ considering 9 hrs/day]</t>
  </si>
  <si>
    <t>Stage wise -Total Duration (Wks)</t>
  </si>
  <si>
    <t>Stage wise -Total Duration (Days)</t>
  </si>
  <si>
    <t>Delivery Method</t>
  </si>
  <si>
    <t>Enablement Assured Level</t>
  </si>
  <si>
    <t>Assessment Assured Level</t>
  </si>
  <si>
    <t>Stage 2</t>
  </si>
  <si>
    <t>Skill</t>
  </si>
  <si>
    <t>Evaluation</t>
  </si>
  <si>
    <t xml:space="preserve">Interim  KBA (MCQ) Assessment </t>
  </si>
  <si>
    <t>Day 15</t>
  </si>
  <si>
    <t>Assessment</t>
  </si>
  <si>
    <t>Interim  Technical Evaluation</t>
  </si>
  <si>
    <t>Day 16</t>
  </si>
  <si>
    <t xml:space="preserve">AWS Containers , docker , kubernates </t>
  </si>
  <si>
    <t>Day 17 – 18</t>
  </si>
  <si>
    <t>Day 19 – 21</t>
  </si>
  <si>
    <t>Day 22 – 24</t>
  </si>
  <si>
    <t>Day 25 – 26</t>
  </si>
  <si>
    <t>Day 27 – 30</t>
  </si>
  <si>
    <t>BU Mandatory Learnings</t>
  </si>
  <si>
    <t>NA</t>
  </si>
  <si>
    <t>Self-Learning</t>
  </si>
  <si>
    <t>Knowledge</t>
  </si>
  <si>
    <t>Fundamentals of Gen AI, Responsible AI,Flowsource,
Git Hub copilot ,Context Engineering</t>
  </si>
  <si>
    <t>Day 31</t>
  </si>
  <si>
    <t>ITIL Concepts</t>
  </si>
  <si>
    <t xml:space="preserve">Final KBA (MCQ) Assessment </t>
  </si>
  <si>
    <t>Final Technical Evaluation</t>
  </si>
  <si>
    <t>Day 32 - 33</t>
  </si>
  <si>
    <t>Enablement</t>
  </si>
  <si>
    <t>Behavioral Training</t>
  </si>
  <si>
    <t>BU Mentor Connect</t>
  </si>
  <si>
    <t>Total Duration in hours</t>
  </si>
  <si>
    <t>Total Duration in Days</t>
  </si>
  <si>
    <t xml:space="preserve">Total Duration in Weeks(5 Days a week) </t>
  </si>
  <si>
    <t>AWS BedRock &amp; SageMaker basics</t>
  </si>
  <si>
    <t>AWS AI Services &amp; AWS Transform(ATX) Basics</t>
  </si>
  <si>
    <t>Vanilla DevOps</t>
  </si>
  <si>
    <t xml:space="preserve">Docker </t>
  </si>
  <si>
    <t>Kubernetes</t>
  </si>
  <si>
    <t xml:space="preserve">Git &amp; Jenkins </t>
  </si>
  <si>
    <t>Terraform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</si>
</sst>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10"/>
      <name val="Aptos"/>
      <charset val="1"/>
    </font>
    <font>
      <b/>
      <sz val="10"/>
      <color rgb="FF1F4E78"/>
      <name val="Aptos"/>
      <charset val="1"/>
    </font>
    <font>
      <b/>
      <sz val="11"/>
      <name val="Aptos"/>
      <charset val="1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D9EAD3"/>
      </patternFill>
    </fill>
    <fill>
      <patternFill patternType="solid">
        <fgColor theme="3" tint="0.59999389629810485"/>
        <bgColor rgb="FFE2F0D9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3" borderId="4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left" vertical="top"/>
    </xf>
    <xf numFmtId="164" fontId="7" fillId="0" borderId="1" xfId="0" applyNumberFormat="1" applyFont="1" applyBorder="1" applyAlignment="1">
      <alignment horizontal="left" vertical="top"/>
    </xf>
    <xf numFmtId="0" fontId="7" fillId="6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1" fontId="6" fillId="0" borderId="2" xfId="0" applyNumberFormat="1" applyFont="1" applyBorder="1" applyAlignment="1">
      <alignment horizontal="center" vertical="top"/>
    </xf>
    <xf numFmtId="1" fontId="6" fillId="0" borderId="11" xfId="0" applyNumberFormat="1" applyFont="1" applyBorder="1" applyAlignment="1">
      <alignment horizontal="center" vertical="top"/>
    </xf>
    <xf numFmtId="1" fontId="6" fillId="0" borderId="12" xfId="0" applyNumberFormat="1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D3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zoomScale="70" zoomScaleNormal="70" workbookViewId="0">
      <pane ySplit="1" topLeftCell="A12" activePane="bottomLeft" state="frozen"/>
      <selection pane="bottomLeft" activeCell="D12" sqref="D12"/>
    </sheetView>
  </sheetViews>
  <sheetFormatPr defaultColWidth="8.7265625" defaultRowHeight="14.5" x14ac:dyDescent="0.35"/>
  <cols>
    <col min="1" max="1" width="8" customWidth="1"/>
    <col min="2" max="2" width="24" customWidth="1"/>
    <col min="3" max="3" width="36" customWidth="1"/>
    <col min="4" max="4" width="68" customWidth="1"/>
    <col min="5" max="5" width="62" customWidth="1"/>
    <col min="6" max="6" width="10" customWidth="1"/>
    <col min="7" max="7" width="16" customWidth="1"/>
    <col min="8" max="8" width="14" customWidth="1"/>
  </cols>
  <sheetData>
    <row r="1" spans="1:8" ht="31.5" customHeight="1" thickBot="1" x14ac:dyDescent="0.4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44.75" customHeight="1" x14ac:dyDescent="0.35">
      <c r="A2" s="8">
        <v>1</v>
      </c>
      <c r="B2" s="9" t="s">
        <v>8</v>
      </c>
      <c r="C2" s="10" t="s">
        <v>9</v>
      </c>
      <c r="D2" s="11" t="s">
        <v>10</v>
      </c>
      <c r="E2" s="11" t="s">
        <v>11</v>
      </c>
      <c r="F2" s="12">
        <v>8</v>
      </c>
      <c r="G2" s="13" t="s">
        <v>12</v>
      </c>
      <c r="H2" s="14" t="s">
        <v>13</v>
      </c>
    </row>
    <row r="3" spans="1:8" ht="144.75" customHeight="1" x14ac:dyDescent="0.35">
      <c r="A3" s="15">
        <v>2</v>
      </c>
      <c r="B3" s="1" t="s">
        <v>14</v>
      </c>
      <c r="C3" s="2" t="s">
        <v>15</v>
      </c>
      <c r="D3" s="6" t="s">
        <v>16</v>
      </c>
      <c r="E3" s="6" t="s">
        <v>17</v>
      </c>
      <c r="F3" s="5">
        <v>24</v>
      </c>
      <c r="G3" s="7" t="s">
        <v>18</v>
      </c>
      <c r="H3" s="16" t="s">
        <v>13</v>
      </c>
    </row>
    <row r="4" spans="1:8" ht="144.75" customHeight="1" x14ac:dyDescent="0.35">
      <c r="A4" s="15">
        <v>3</v>
      </c>
      <c r="B4" s="1" t="s">
        <v>19</v>
      </c>
      <c r="C4" s="2" t="s">
        <v>20</v>
      </c>
      <c r="D4" s="6" t="s">
        <v>21</v>
      </c>
      <c r="E4" s="6" t="s">
        <v>22</v>
      </c>
      <c r="F4" s="5">
        <v>16</v>
      </c>
      <c r="G4" s="7" t="s">
        <v>23</v>
      </c>
      <c r="H4" s="16" t="s">
        <v>13</v>
      </c>
    </row>
    <row r="5" spans="1:8" ht="144.75" customHeight="1" x14ac:dyDescent="0.35">
      <c r="A5" s="15">
        <v>4</v>
      </c>
      <c r="B5" s="1" t="s">
        <v>19</v>
      </c>
      <c r="C5" s="2" t="s">
        <v>24</v>
      </c>
      <c r="D5" s="6" t="s">
        <v>25</v>
      </c>
      <c r="E5" s="6" t="s">
        <v>26</v>
      </c>
      <c r="F5" s="5">
        <v>24</v>
      </c>
      <c r="G5" s="7" t="s">
        <v>27</v>
      </c>
      <c r="H5" s="16" t="s">
        <v>13</v>
      </c>
    </row>
    <row r="6" spans="1:8" ht="144.75" customHeight="1" x14ac:dyDescent="0.35">
      <c r="A6" s="15">
        <v>5</v>
      </c>
      <c r="B6" s="1" t="s">
        <v>19</v>
      </c>
      <c r="C6" s="2" t="s">
        <v>28</v>
      </c>
      <c r="D6" s="6" t="s">
        <v>29</v>
      </c>
      <c r="E6" s="6" t="s">
        <v>30</v>
      </c>
      <c r="F6" s="5">
        <v>24</v>
      </c>
      <c r="G6" s="7" t="s">
        <v>31</v>
      </c>
      <c r="H6" s="16" t="s">
        <v>13</v>
      </c>
    </row>
    <row r="7" spans="1:8" ht="144.75" customHeight="1" x14ac:dyDescent="0.35">
      <c r="A7" s="15">
        <v>6</v>
      </c>
      <c r="B7" s="1" t="s">
        <v>32</v>
      </c>
      <c r="C7" s="2" t="s">
        <v>33</v>
      </c>
      <c r="D7" s="6" t="s">
        <v>34</v>
      </c>
      <c r="E7" s="6" t="s">
        <v>35</v>
      </c>
      <c r="F7" s="5">
        <v>24</v>
      </c>
      <c r="G7" s="7" t="s">
        <v>36</v>
      </c>
      <c r="H7" s="16" t="s">
        <v>13</v>
      </c>
    </row>
    <row r="8" spans="1:8" ht="144.75" customHeight="1" x14ac:dyDescent="0.35">
      <c r="A8" s="15">
        <v>7</v>
      </c>
      <c r="B8" s="1" t="s">
        <v>37</v>
      </c>
      <c r="C8" s="2" t="s">
        <v>38</v>
      </c>
      <c r="D8" s="6" t="s">
        <v>39</v>
      </c>
      <c r="E8" s="6" t="s">
        <v>40</v>
      </c>
      <c r="F8" s="5">
        <v>16</v>
      </c>
      <c r="G8" s="7" t="s">
        <v>41</v>
      </c>
      <c r="H8" s="16" t="s">
        <v>13</v>
      </c>
    </row>
    <row r="9" spans="1:8" ht="144.75" customHeight="1" x14ac:dyDescent="0.35">
      <c r="A9" s="15">
        <v>8</v>
      </c>
      <c r="B9" s="1" t="s">
        <v>37</v>
      </c>
      <c r="C9" s="2" t="s">
        <v>42</v>
      </c>
      <c r="D9" s="6" t="s">
        <v>43</v>
      </c>
      <c r="E9" s="6" t="s">
        <v>44</v>
      </c>
      <c r="F9" s="5">
        <v>24</v>
      </c>
      <c r="G9" s="7" t="s">
        <v>45</v>
      </c>
      <c r="H9" s="16" t="s">
        <v>13</v>
      </c>
    </row>
    <row r="10" spans="1:8" ht="144.75" customHeight="1" x14ac:dyDescent="0.35">
      <c r="A10" s="15">
        <v>9</v>
      </c>
      <c r="B10" s="1" t="s">
        <v>37</v>
      </c>
      <c r="C10" s="2" t="s">
        <v>46</v>
      </c>
      <c r="D10" s="6" t="s">
        <v>47</v>
      </c>
      <c r="E10" s="6" t="s">
        <v>48</v>
      </c>
      <c r="F10" s="5">
        <v>24</v>
      </c>
      <c r="G10" s="7" t="s">
        <v>49</v>
      </c>
      <c r="H10" s="16" t="s">
        <v>13</v>
      </c>
    </row>
    <row r="11" spans="1:8" ht="144.75" customHeight="1" x14ac:dyDescent="0.35">
      <c r="A11" s="15">
        <v>10</v>
      </c>
      <c r="B11" s="1" t="s">
        <v>50</v>
      </c>
      <c r="C11" s="2" t="s">
        <v>51</v>
      </c>
      <c r="D11" s="6" t="s">
        <v>52</v>
      </c>
      <c r="E11" s="6"/>
      <c r="F11" s="5">
        <v>16</v>
      </c>
      <c r="G11" s="7" t="s">
        <v>53</v>
      </c>
      <c r="H11" s="16" t="s">
        <v>13</v>
      </c>
    </row>
    <row r="12" spans="1:8" ht="184.5" customHeight="1" x14ac:dyDescent="0.35">
      <c r="A12" s="15">
        <v>11</v>
      </c>
      <c r="B12" s="1" t="s">
        <v>54</v>
      </c>
      <c r="C12" s="2" t="s">
        <v>55</v>
      </c>
      <c r="D12" s="6" t="s">
        <v>56</v>
      </c>
      <c r="E12" s="6" t="s">
        <v>57</v>
      </c>
      <c r="F12" s="5">
        <v>32</v>
      </c>
      <c r="G12" s="7" t="s">
        <v>58</v>
      </c>
      <c r="H12" s="16" t="s">
        <v>13</v>
      </c>
    </row>
    <row r="13" spans="1:8" ht="32.5" customHeight="1" thickBot="1" x14ac:dyDescent="0.4">
      <c r="A13" s="17"/>
      <c r="B13" s="18" t="s">
        <v>59</v>
      </c>
      <c r="C13" s="18" t="s">
        <v>60</v>
      </c>
      <c r="D13" s="18"/>
      <c r="E13" s="18"/>
      <c r="F13" s="18">
        <v>135</v>
      </c>
      <c r="G13" s="18" t="s">
        <v>61</v>
      </c>
      <c r="H13" s="19" t="s">
        <v>62</v>
      </c>
    </row>
    <row r="14" spans="1:8" ht="159.75" customHeight="1" x14ac:dyDescent="0.35"/>
    <row r="15" spans="1:8" ht="184.5" customHeight="1" x14ac:dyDescent="0.35"/>
    <row r="16" spans="1:8" ht="120" customHeight="1" x14ac:dyDescent="0.35"/>
    <row r="17" customFormat="1" ht="144.75" customHeight="1" x14ac:dyDescent="0.35"/>
    <row r="18" customFormat="1" ht="144.75" customHeight="1" x14ac:dyDescent="0.35"/>
    <row r="19" customFormat="1" ht="35.15" customHeight="1" x14ac:dyDescent="0.35"/>
    <row r="20" customFormat="1" ht="35.15" customHeight="1" x14ac:dyDescent="0.35"/>
    <row r="21" customFormat="1" ht="35.15" customHeight="1" x14ac:dyDescent="0.35"/>
    <row r="22" customFormat="1" ht="27.75" customHeigh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</sheetData>
  <autoFilter ref="A1:H13" xr:uid="{00000000-0009-0000-0000-000000000000}"/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1E9A-2C25-49AA-80AB-B10AC5B8640C}">
  <dimension ref="A1:L28"/>
  <sheetViews>
    <sheetView tabSelected="1" topLeftCell="A7" zoomScale="80" zoomScaleNormal="80" workbookViewId="0">
      <selection activeCell="F2" sqref="F2:F25"/>
    </sheetView>
  </sheetViews>
  <sheetFormatPr defaultColWidth="8.7265625" defaultRowHeight="13" x14ac:dyDescent="0.3"/>
  <cols>
    <col min="1" max="1" width="8.81640625" style="21" bestFit="1" customWidth="1"/>
    <col min="2" max="2" width="23.1796875" style="21" bestFit="1" customWidth="1"/>
    <col min="3" max="3" width="35.54296875" style="21" bestFit="1" customWidth="1"/>
    <col min="4" max="4" width="10" style="21" customWidth="1"/>
    <col min="5" max="5" width="15.81640625" style="21" customWidth="1"/>
    <col min="6" max="7" width="19.1796875" style="21" bestFit="1" customWidth="1"/>
    <col min="8" max="8" width="9.54296875" style="21" bestFit="1" customWidth="1"/>
    <col min="9" max="10" width="16.26953125" style="21" bestFit="1" customWidth="1"/>
    <col min="11" max="16384" width="8.7265625" style="21"/>
  </cols>
  <sheetData>
    <row r="1" spans="1:10" ht="39" x14ac:dyDescent="0.3">
      <c r="A1" s="20" t="s">
        <v>63</v>
      </c>
      <c r="B1" s="20" t="s">
        <v>64</v>
      </c>
      <c r="C1" s="20" t="s">
        <v>65</v>
      </c>
      <c r="D1" s="20" t="s">
        <v>66</v>
      </c>
      <c r="E1" s="29" t="s">
        <v>67</v>
      </c>
      <c r="F1" s="20" t="s">
        <v>68</v>
      </c>
      <c r="G1" s="20" t="s">
        <v>69</v>
      </c>
      <c r="H1" s="20" t="s">
        <v>70</v>
      </c>
      <c r="I1" s="20" t="s">
        <v>71</v>
      </c>
      <c r="J1" s="20" t="s">
        <v>72</v>
      </c>
    </row>
    <row r="2" spans="1:10" x14ac:dyDescent="0.3">
      <c r="A2" s="32" t="s">
        <v>73</v>
      </c>
      <c r="B2" s="26" t="s">
        <v>8</v>
      </c>
      <c r="C2" s="26" t="s">
        <v>9</v>
      </c>
      <c r="D2" s="25">
        <v>8</v>
      </c>
      <c r="E2" s="25">
        <v>27</v>
      </c>
      <c r="F2" s="33">
        <f>SUM(D2:D24)/9/5</f>
        <v>9.2666666666666675</v>
      </c>
      <c r="G2" s="26" t="s">
        <v>12</v>
      </c>
      <c r="H2" s="25" t="s">
        <v>13</v>
      </c>
      <c r="I2" s="25" t="s">
        <v>74</v>
      </c>
      <c r="J2" s="25" t="s">
        <v>74</v>
      </c>
    </row>
    <row r="3" spans="1:10" ht="26" x14ac:dyDescent="0.3">
      <c r="A3" s="32"/>
      <c r="B3" s="26" t="s">
        <v>14</v>
      </c>
      <c r="C3" s="26" t="s">
        <v>15</v>
      </c>
      <c r="D3" s="25">
        <v>24</v>
      </c>
      <c r="E3" s="25">
        <v>27</v>
      </c>
      <c r="F3" s="34"/>
      <c r="G3" s="26" t="s">
        <v>18</v>
      </c>
      <c r="H3" s="25" t="s">
        <v>13</v>
      </c>
      <c r="I3" s="25" t="s">
        <v>74</v>
      </c>
      <c r="J3" s="25" t="s">
        <v>74</v>
      </c>
    </row>
    <row r="4" spans="1:10" x14ac:dyDescent="0.3">
      <c r="A4" s="32"/>
      <c r="B4" s="26" t="s">
        <v>19</v>
      </c>
      <c r="C4" s="26" t="s">
        <v>20</v>
      </c>
      <c r="D4" s="25">
        <v>16</v>
      </c>
      <c r="E4" s="25">
        <v>18</v>
      </c>
      <c r="F4" s="34"/>
      <c r="G4" s="26" t="s">
        <v>23</v>
      </c>
      <c r="H4" s="25" t="s">
        <v>13</v>
      </c>
      <c r="I4" s="25" t="s">
        <v>74</v>
      </c>
      <c r="J4" s="25" t="s">
        <v>74</v>
      </c>
    </row>
    <row r="5" spans="1:10" x14ac:dyDescent="0.3">
      <c r="A5" s="32"/>
      <c r="B5" s="26" t="s">
        <v>19</v>
      </c>
      <c r="C5" s="26" t="s">
        <v>24</v>
      </c>
      <c r="D5" s="25">
        <v>24</v>
      </c>
      <c r="E5" s="25">
        <v>27</v>
      </c>
      <c r="F5" s="34"/>
      <c r="G5" s="26" t="s">
        <v>27</v>
      </c>
      <c r="H5" s="25" t="s">
        <v>13</v>
      </c>
      <c r="I5" s="25" t="s">
        <v>74</v>
      </c>
      <c r="J5" s="25" t="s">
        <v>74</v>
      </c>
    </row>
    <row r="6" spans="1:10" x14ac:dyDescent="0.3">
      <c r="A6" s="32"/>
      <c r="B6" s="26" t="s">
        <v>19</v>
      </c>
      <c r="C6" s="26" t="s">
        <v>28</v>
      </c>
      <c r="D6" s="25">
        <v>24</v>
      </c>
      <c r="E6" s="25">
        <v>27</v>
      </c>
      <c r="F6" s="34"/>
      <c r="G6" s="26" t="s">
        <v>31</v>
      </c>
      <c r="H6" s="25" t="s">
        <v>13</v>
      </c>
      <c r="I6" s="25" t="s">
        <v>74</v>
      </c>
      <c r="J6" s="25" t="s">
        <v>74</v>
      </c>
    </row>
    <row r="7" spans="1:10" ht="26" x14ac:dyDescent="0.3">
      <c r="A7" s="32"/>
      <c r="B7" s="26" t="s">
        <v>54</v>
      </c>
      <c r="C7" s="26" t="s">
        <v>55</v>
      </c>
      <c r="D7" s="25">
        <v>32</v>
      </c>
      <c r="E7" s="25">
        <v>36</v>
      </c>
      <c r="F7" s="34"/>
      <c r="G7" s="26" t="s">
        <v>36</v>
      </c>
      <c r="H7" s="25" t="s">
        <v>13</v>
      </c>
      <c r="I7" s="25" t="s">
        <v>74</v>
      </c>
      <c r="J7" s="25" t="s">
        <v>74</v>
      </c>
    </row>
    <row r="8" spans="1:10" x14ac:dyDescent="0.3">
      <c r="A8" s="32"/>
      <c r="B8" s="26" t="s">
        <v>105</v>
      </c>
      <c r="C8" s="26" t="s">
        <v>109</v>
      </c>
      <c r="D8" s="25">
        <v>24</v>
      </c>
      <c r="E8" s="25">
        <v>27</v>
      </c>
      <c r="F8" s="34"/>
      <c r="G8" s="26"/>
      <c r="H8" s="25"/>
      <c r="I8" s="25"/>
      <c r="J8" s="25"/>
    </row>
    <row r="9" spans="1:10" s="22" customFormat="1" x14ac:dyDescent="0.35">
      <c r="A9" s="32"/>
      <c r="B9" s="24" t="s">
        <v>75</v>
      </c>
      <c r="C9" s="24" t="s">
        <v>76</v>
      </c>
      <c r="D9" s="24">
        <v>1</v>
      </c>
      <c r="E9" s="24">
        <v>1</v>
      </c>
      <c r="F9" s="34"/>
      <c r="G9" s="25" t="s">
        <v>77</v>
      </c>
      <c r="H9" s="25" t="s">
        <v>78</v>
      </c>
      <c r="I9" s="25" t="s">
        <v>74</v>
      </c>
      <c r="J9" s="25" t="s">
        <v>74</v>
      </c>
    </row>
    <row r="10" spans="1:10" x14ac:dyDescent="0.3">
      <c r="A10" s="32"/>
      <c r="B10" s="24" t="s">
        <v>75</v>
      </c>
      <c r="C10" s="24" t="s">
        <v>79</v>
      </c>
      <c r="D10" s="24">
        <v>9</v>
      </c>
      <c r="E10" s="24">
        <v>9</v>
      </c>
      <c r="F10" s="34"/>
      <c r="G10" s="26" t="s">
        <v>80</v>
      </c>
      <c r="H10" s="25"/>
      <c r="I10" s="25"/>
      <c r="J10" s="25"/>
    </row>
    <row r="11" spans="1:10" x14ac:dyDescent="0.3">
      <c r="A11" s="32"/>
      <c r="B11" s="30" t="s">
        <v>105</v>
      </c>
      <c r="C11" s="30" t="s">
        <v>108</v>
      </c>
      <c r="D11" s="31">
        <v>24</v>
      </c>
      <c r="E11" s="31">
        <v>27</v>
      </c>
      <c r="F11" s="34"/>
      <c r="G11" s="26" t="s">
        <v>82</v>
      </c>
      <c r="H11" s="25" t="s">
        <v>13</v>
      </c>
      <c r="I11" s="25" t="s">
        <v>74</v>
      </c>
      <c r="J11" s="25" t="s">
        <v>74</v>
      </c>
    </row>
    <row r="12" spans="1:10" x14ac:dyDescent="0.3">
      <c r="A12" s="32"/>
      <c r="B12" s="30" t="s">
        <v>105</v>
      </c>
      <c r="C12" s="30" t="s">
        <v>106</v>
      </c>
      <c r="D12" s="31">
        <v>24</v>
      </c>
      <c r="E12" s="31">
        <v>27</v>
      </c>
      <c r="F12" s="34"/>
      <c r="G12" s="26" t="s">
        <v>83</v>
      </c>
      <c r="H12" s="25" t="s">
        <v>13</v>
      </c>
      <c r="I12" s="25" t="s">
        <v>74</v>
      </c>
      <c r="J12" s="25" t="s">
        <v>74</v>
      </c>
    </row>
    <row r="13" spans="1:10" x14ac:dyDescent="0.3">
      <c r="A13" s="32"/>
      <c r="B13" s="30" t="s">
        <v>105</v>
      </c>
      <c r="C13" s="30" t="s">
        <v>107</v>
      </c>
      <c r="D13" s="30">
        <v>32</v>
      </c>
      <c r="E13" s="30">
        <v>36</v>
      </c>
      <c r="F13" s="34"/>
      <c r="G13" s="26" t="s">
        <v>84</v>
      </c>
      <c r="H13" s="25" t="s">
        <v>13</v>
      </c>
      <c r="I13" s="25" t="s">
        <v>74</v>
      </c>
      <c r="J13" s="25" t="s">
        <v>74</v>
      </c>
    </row>
    <row r="14" spans="1:10" ht="26" x14ac:dyDescent="0.3">
      <c r="A14" s="32"/>
      <c r="B14" s="26" t="s">
        <v>81</v>
      </c>
      <c r="C14" s="26" t="s">
        <v>38</v>
      </c>
      <c r="D14" s="25">
        <v>16</v>
      </c>
      <c r="E14" s="25">
        <v>18</v>
      </c>
      <c r="F14" s="34"/>
      <c r="G14" s="26" t="s">
        <v>85</v>
      </c>
      <c r="H14" s="25" t="s">
        <v>13</v>
      </c>
      <c r="I14" s="25" t="s">
        <v>74</v>
      </c>
      <c r="J14" s="25" t="s">
        <v>74</v>
      </c>
    </row>
    <row r="15" spans="1:10" x14ac:dyDescent="0.3">
      <c r="A15" s="32"/>
      <c r="B15" s="26" t="s">
        <v>37</v>
      </c>
      <c r="C15" s="26" t="s">
        <v>42</v>
      </c>
      <c r="D15" s="25">
        <v>24</v>
      </c>
      <c r="E15" s="25">
        <v>27</v>
      </c>
      <c r="F15" s="34"/>
      <c r="G15" s="26" t="s">
        <v>86</v>
      </c>
      <c r="H15" s="25" t="s">
        <v>13</v>
      </c>
      <c r="I15" s="25" t="s">
        <v>74</v>
      </c>
      <c r="J15" s="25" t="s">
        <v>74</v>
      </c>
    </row>
    <row r="16" spans="1:10" s="23" customFormat="1" x14ac:dyDescent="0.35">
      <c r="A16" s="32"/>
      <c r="B16" s="26" t="s">
        <v>37</v>
      </c>
      <c r="C16" s="26" t="s">
        <v>46</v>
      </c>
      <c r="D16" s="25">
        <v>24</v>
      </c>
      <c r="E16" s="25">
        <v>27</v>
      </c>
      <c r="F16" s="34"/>
      <c r="G16" s="25" t="s">
        <v>88</v>
      </c>
      <c r="H16" s="25" t="s">
        <v>89</v>
      </c>
      <c r="I16" s="26" t="s">
        <v>90</v>
      </c>
      <c r="J16" s="26" t="s">
        <v>90</v>
      </c>
    </row>
    <row r="17" spans="1:12" x14ac:dyDescent="0.3">
      <c r="A17" s="32"/>
      <c r="B17" s="30" t="s">
        <v>50</v>
      </c>
      <c r="C17" s="30" t="s">
        <v>103</v>
      </c>
      <c r="D17" s="31">
        <v>24</v>
      </c>
      <c r="E17" s="31">
        <v>27</v>
      </c>
      <c r="F17" s="34"/>
      <c r="G17" s="25" t="s">
        <v>92</v>
      </c>
      <c r="H17" s="25" t="s">
        <v>89</v>
      </c>
      <c r="I17" s="26" t="s">
        <v>90</v>
      </c>
      <c r="J17" s="26" t="s">
        <v>90</v>
      </c>
      <c r="L17" s="22"/>
    </row>
    <row r="18" spans="1:12" ht="26" x14ac:dyDescent="0.3">
      <c r="A18" s="32"/>
      <c r="B18" s="26" t="s">
        <v>50</v>
      </c>
      <c r="C18" s="26" t="s">
        <v>104</v>
      </c>
      <c r="D18" s="25">
        <v>16</v>
      </c>
      <c r="E18" s="25">
        <v>18</v>
      </c>
      <c r="F18" s="34"/>
      <c r="G18" s="25" t="s">
        <v>88</v>
      </c>
      <c r="H18" s="25" t="s">
        <v>89</v>
      </c>
      <c r="I18" s="26" t="s">
        <v>90</v>
      </c>
      <c r="J18" s="26" t="s">
        <v>90</v>
      </c>
    </row>
    <row r="19" spans="1:12" s="22" customFormat="1" ht="39" x14ac:dyDescent="0.35">
      <c r="A19" s="32"/>
      <c r="B19" s="36" t="s">
        <v>87</v>
      </c>
      <c r="C19" s="26" t="s">
        <v>91</v>
      </c>
      <c r="D19" s="25">
        <v>9</v>
      </c>
      <c r="E19" s="25">
        <v>9</v>
      </c>
      <c r="F19" s="34"/>
      <c r="G19" s="25" t="s">
        <v>92</v>
      </c>
      <c r="H19" s="25" t="s">
        <v>78</v>
      </c>
      <c r="I19" s="25" t="s">
        <v>74</v>
      </c>
      <c r="J19" s="25" t="s">
        <v>74</v>
      </c>
    </row>
    <row r="20" spans="1:12" s="22" customFormat="1" x14ac:dyDescent="0.35">
      <c r="A20" s="32"/>
      <c r="B20" s="37"/>
      <c r="C20" s="26" t="s">
        <v>93</v>
      </c>
      <c r="D20" s="26" t="s">
        <v>88</v>
      </c>
      <c r="E20" s="26" t="s">
        <v>88</v>
      </c>
      <c r="F20" s="34"/>
      <c r="G20" s="25" t="s">
        <v>96</v>
      </c>
      <c r="H20" s="25" t="s">
        <v>75</v>
      </c>
      <c r="I20" s="25" t="s">
        <v>90</v>
      </c>
      <c r="J20" s="25" t="s">
        <v>90</v>
      </c>
    </row>
    <row r="21" spans="1:12" s="22" customFormat="1" x14ac:dyDescent="0.35">
      <c r="A21" s="32"/>
      <c r="B21" s="38"/>
      <c r="C21" s="24" t="s">
        <v>94</v>
      </c>
      <c r="D21" s="24">
        <v>1</v>
      </c>
      <c r="E21" s="24">
        <v>1</v>
      </c>
      <c r="F21" s="34"/>
      <c r="G21" s="25" t="s">
        <v>88</v>
      </c>
      <c r="H21" s="25"/>
      <c r="I21" s="25"/>
      <c r="J21" s="25"/>
    </row>
    <row r="22" spans="1:12" s="22" customFormat="1" x14ac:dyDescent="0.35">
      <c r="A22" s="32"/>
      <c r="B22" s="24" t="s">
        <v>75</v>
      </c>
      <c r="C22" s="24" t="s">
        <v>95</v>
      </c>
      <c r="D22" s="24">
        <v>18</v>
      </c>
      <c r="E22" s="24">
        <v>18</v>
      </c>
      <c r="F22" s="34"/>
      <c r="G22" s="25" t="s">
        <v>88</v>
      </c>
      <c r="H22" s="25"/>
      <c r="I22" s="25"/>
      <c r="J22" s="25"/>
    </row>
    <row r="23" spans="1:12" s="22" customFormat="1" x14ac:dyDescent="0.35">
      <c r="A23" s="32"/>
      <c r="B23" s="24" t="s">
        <v>75</v>
      </c>
      <c r="C23" s="25" t="s">
        <v>98</v>
      </c>
      <c r="D23" s="25">
        <v>39</v>
      </c>
      <c r="E23" s="25">
        <v>39</v>
      </c>
      <c r="F23" s="34"/>
      <c r="G23" s="25" t="s">
        <v>88</v>
      </c>
      <c r="H23" s="25"/>
      <c r="I23" s="25"/>
      <c r="J23" s="25"/>
    </row>
    <row r="24" spans="1:12" s="22" customFormat="1" x14ac:dyDescent="0.35">
      <c r="A24" s="32"/>
      <c r="B24" s="25" t="s">
        <v>97</v>
      </c>
      <c r="C24" s="25" t="s">
        <v>99</v>
      </c>
      <c r="D24" s="25">
        <v>4</v>
      </c>
      <c r="E24" s="25">
        <v>4</v>
      </c>
      <c r="F24" s="34"/>
      <c r="G24" s="25"/>
      <c r="H24" s="25"/>
      <c r="I24" s="25"/>
      <c r="J24" s="25"/>
    </row>
    <row r="25" spans="1:12" s="22" customFormat="1" x14ac:dyDescent="0.35">
      <c r="A25" s="32"/>
      <c r="B25" s="25" t="s">
        <v>97</v>
      </c>
      <c r="C25" s="24" t="s">
        <v>100</v>
      </c>
      <c r="D25" s="24">
        <f>SUM(D2:D24)</f>
        <v>417</v>
      </c>
      <c r="E25" s="24">
        <f>SUM(E2:E24)</f>
        <v>477</v>
      </c>
      <c r="F25" s="35"/>
      <c r="G25" s="25"/>
      <c r="H25" s="25"/>
      <c r="I25" s="25"/>
      <c r="J25" s="25"/>
    </row>
    <row r="26" spans="1:12" x14ac:dyDescent="0.3">
      <c r="B26" s="32"/>
      <c r="C26" s="24" t="s">
        <v>101</v>
      </c>
      <c r="D26" s="27">
        <f>D25/9</f>
        <v>46.333333333333336</v>
      </c>
      <c r="E26" s="27">
        <f>E25/9</f>
        <v>53</v>
      </c>
    </row>
    <row r="27" spans="1:12" x14ac:dyDescent="0.3">
      <c r="B27" s="32"/>
      <c r="C27" s="24" t="s">
        <v>102</v>
      </c>
      <c r="D27" s="28">
        <f>D26/5</f>
        <v>9.2666666666666675</v>
      </c>
      <c r="E27" s="28">
        <f>E26/5</f>
        <v>10.6</v>
      </c>
    </row>
    <row r="28" spans="1:12" x14ac:dyDescent="0.3">
      <c r="B28" s="32"/>
    </row>
  </sheetData>
  <mergeCells count="4">
    <mergeCell ref="B26:B28"/>
    <mergeCell ref="A2:A25"/>
    <mergeCell ref="F2:F25"/>
    <mergeCell ref="B19:B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Curriculum Tracker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Bhatt, Aryan (Cognizant)</dc:creator>
  <cp:keywords/>
  <dc:description/>
  <cp:lastModifiedBy>Maria Paul Dhas, Sujilin(Cognizant)</cp:lastModifiedBy>
  <cp:revision>0</cp:revision>
  <dcterms:created xsi:type="dcterms:W3CDTF">2026-07-31T06:29:42Z</dcterms:created>
  <dcterms:modified xsi:type="dcterms:W3CDTF">2026-08-06T09:00:57Z</dcterms:modified>
  <cp:category/>
  <cp:contentStatus/>
</cp:coreProperties>
</file>